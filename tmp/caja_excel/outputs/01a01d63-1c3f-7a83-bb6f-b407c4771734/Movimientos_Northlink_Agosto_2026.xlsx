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86cacf5df8442e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en" sheetId="1" r:id="R2eceeb397dcd412e"/>
    <x:sheet xmlns:r="http://schemas.openxmlformats.org/officeDocument/2006/relationships" name="Movimientos" sheetId="2" r:id="R31bd50615f454c03"/>
    <x:sheet xmlns:r="http://schemas.openxmlformats.org/officeDocument/2006/relationships" name="Catalogos" sheetId="3" r:id="R14c14cdaa03b441c"/>
    <x:sheet xmlns:r="http://schemas.openxmlformats.org/officeDocument/2006/relationships" name="Controles" sheetId="4" r:id="R6e824aa1351f4eed"/>
    <x:sheet xmlns:r="http://schemas.openxmlformats.org/officeDocument/2006/relationships" name="Fuentes" sheetId="5" r:id="R821e57ec4716487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yyyy-mm-dd"/>
    <x:numFmt numFmtId="201" formatCode="#,##0.00;[Red](#,##0.00);-"/>
    <x:numFmt numFmtId="202" formatCode="0.00"/>
    <x:numFmt numFmtId="203" formatCode="&quot;US$&quot;#,##0.00;[Red](&quot;US$&quot;#,##0.00);-"/>
    <x:numFmt numFmtId="204" formatCode="#,##0"/>
    <x:numFmt numFmtId="205" formatCode="#,##0.00"/>
  </x:numFmts>
  <x:fonts count="5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i/>
      <x:sz val="11"/>
      <x:color rgb="FF123047"/>
      <x:name val="Carlito"/>
    </x:font>
    <x:font>
      <x:b/>
      <x:sz val="15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23047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  <x:fill>
      <x:patternFill patternType="solid">
        <x:fgColor rgb="FFFFF3BF"/>
      </x:patternFill>
    </x:fill>
  </x:fills>
  <x:borders count="19">
    <x:border/>
    <x:border>
      <x:right style="thin">
        <x:color rgb="FFD1D5DB"/>
      </x:right>
      <x:bottom style="thin">
        <x:color rgb="FFD1D5DB"/>
      </x:bottom>
    </x:border>
    <x:border>
      <x:left style="thin">
        <x:color rgb="FFD1D5DB"/>
      </x:left>
      <x:right style="thin">
        <x:color rgb="FFD1D5DB"/>
      </x:right>
      <x:bottom style="thin">
        <x:color rgb="FFD1D5DB"/>
      </x:bottom>
    </x:border>
    <x:border>
      <x:left style="thin">
        <x:color rgb="FFD1D5DB"/>
      </x:left>
      <x:bottom style="thin">
        <x:color rgb="FFD1D5DB"/>
      </x:bottom>
    </x:border>
    <x:border>
      <x:right style="thin">
        <x:color rgb="FFD1D5DB"/>
      </x:right>
      <x:top style="thin">
        <x:color rgb="FFD1D5DB"/>
      </x:top>
      <x:bottom style="thin">
        <x:color rgb="FFD1D5DB"/>
      </x:bottom>
    </x:border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  <x:border>
      <x:left style="thin">
        <x:color rgb="FFD1D5DB"/>
      </x:left>
      <x:top style="thin">
        <x:color rgb="FFD1D5DB"/>
      </x:top>
      <x:bottom style="thin">
        <x:color rgb="FFD1D5DB"/>
      </x:bottom>
    </x:border>
    <x:border>
      <x:right style="thin">
        <x:color rgb="FFD1D5DB"/>
      </x:right>
      <x:top style="thin">
        <x:color rgb="FFD1D5DB"/>
      </x:top>
    </x:border>
    <x:border>
      <x:left style="thin">
        <x:color rgb="FFD1D5DB"/>
      </x:left>
      <x:right style="thin">
        <x:color rgb="FFD1D5DB"/>
      </x:right>
      <x:top style="thin">
        <x:color rgb="FFD1D5DB"/>
      </x:top>
    </x:border>
    <x:border>
      <x:left style="thin">
        <x:color rgb="FFD1D5DB"/>
      </x:left>
      <x:top style="thin">
        <x:color rgb="FFD1D5DB"/>
      </x:top>
    </x:border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  <x:right style="thin">
        <x:color rgb="FFE5E7EB"/>
      </x:right>
      <x:top style="thin">
        <x:color rgb="FFE5E7EB"/>
      </x:top>
    </x:border>
    <x:border>
      <x:left style="thin">
        <x:color rgb="FFE5E7EB"/>
      </x:left>
      <x:top style="thin">
        <x:color rgb="FFE5E7EB"/>
      </x:top>
    </x:border>
  </x:borders>
  <x:cellStyleXfs count="1">
    <x:xf numFmtId="0" fontId="0" fillId="0" borderId="0"/>
  </x:cellStyleXfs>
  <x:cellXfs count="8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left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horizontal="center" wrapText="1"/>
    </x:xf>
    <x:xf numFmtId="0" fontId="1" fillId="4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201" fontId="0" fillId="0" borderId="0" xfId="0" applyNumberFormat="1" applyFont="1" applyFill="1" applyBorder="1" applyAlignment="1">
      <x:alignment vertical="top"/>
    </x:xf>
    <x:xf numFmtId="202" fontId="0" fillId="0" borderId="0" xfId="0" applyNumberFormat="1" applyFont="1" applyFill="1" applyBorder="1" applyAlignment="1">
      <x:alignment vertical="top"/>
    </x:xf>
    <x:xf numFmtId="203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202" fontId="0" fillId="0" borderId="0" xfId="0" applyNumberFormat="1" applyFont="1" applyFill="1" applyBorder="1" applyAlignment="1">
      <x:alignment vertical="top" wrapText="1"/>
    </x:xf>
    <x:xf numFmtId="203" fontId="0" fillId="0" borderId="0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/>
    </x:xf>
    <x:xf numFmtId="200" fontId="0" fillId="0" borderId="11" xfId="0" applyNumberFormat="1" applyFont="1" applyFill="1" applyBorder="1" applyAlignment="1">
      <x:alignment vertical="top"/>
    </x:xf>
    <x:xf numFmtId="0" fontId="0" fillId="0" borderId="11" xfId="0" applyNumberFormat="1" applyFont="1" applyFill="1" applyBorder="1" applyAlignment="1">
      <x:alignment vertical="top"/>
    </x:xf>
    <x:xf numFmtId="0" fontId="0" fillId="0" borderId="11" xfId="0" applyNumberFormat="1" applyFont="1" applyFill="1" applyBorder="1" applyAlignment="1">
      <x:alignment vertical="top" wrapText="1"/>
    </x:xf>
    <x:xf numFmtId="201" fontId="0" fillId="0" borderId="11" xfId="0" applyNumberFormat="1" applyFont="1" applyFill="1" applyBorder="1" applyAlignment="1">
      <x:alignment vertical="top" wrapText="1"/>
    </x:xf>
    <x:xf numFmtId="202" fontId="0" fillId="0" borderId="11" xfId="0" applyNumberFormat="1" applyFont="1" applyFill="1" applyBorder="1" applyAlignment="1">
      <x:alignment vertical="top" wrapText="1"/>
    </x:xf>
    <x:xf numFmtId="203" fontId="0" fillId="0" borderId="11" xfId="0" applyNumberFormat="1" applyFont="1" applyFill="1" applyBorder="1" applyAlignment="1">
      <x:alignment vertical="top" wrapText="1"/>
    </x:xf>
    <x:xf numFmtId="0" fontId="0" fillId="5" borderId="11" xfId="0" applyNumberFormat="1" applyFont="1" applyFill="1" applyBorder="1" applyAlignment="1">
      <x:alignment vertical="top" wrapText="1"/>
    </x:xf>
    <x:xf numFmtId="0" fontId="0" fillId="5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/>
    </x:xf>
    <x:xf numFmtId="200" fontId="0" fillId="0" borderId="14" xfId="0" applyNumberFormat="1" applyFont="1" applyFill="1" applyBorder="1" applyAlignment="1">
      <x:alignment vertical="top"/>
    </x:xf>
    <x:xf numFmtId="0" fontId="0" fillId="0" borderId="14" xfId="0" applyNumberFormat="1" applyFont="1" applyFill="1" applyBorder="1" applyAlignment="1">
      <x:alignment vertical="top"/>
    </x:xf>
    <x:xf numFmtId="0" fontId="0" fillId="0" borderId="14" xfId="0" applyNumberFormat="1" applyFont="1" applyFill="1" applyBorder="1" applyAlignment="1">
      <x:alignment vertical="top" wrapText="1"/>
    </x:xf>
    <x:xf numFmtId="201" fontId="0" fillId="0" borderId="14" xfId="0" applyNumberFormat="1" applyFont="1" applyFill="1" applyBorder="1" applyAlignment="1">
      <x:alignment vertical="top" wrapText="1"/>
    </x:xf>
    <x:xf numFmtId="202" fontId="0" fillId="0" borderId="14" xfId="0" applyNumberFormat="1" applyFont="1" applyFill="1" applyBorder="1" applyAlignment="1">
      <x:alignment vertical="top" wrapText="1"/>
    </x:xf>
    <x:xf numFmtId="203" fontId="0" fillId="0" borderId="14" xfId="0" applyNumberFormat="1" applyFont="1" applyFill="1" applyBorder="1" applyAlignment="1">
      <x:alignment vertical="top" wrapText="1"/>
    </x:xf>
    <x:xf numFmtId="0" fontId="0" fillId="5" borderId="14" xfId="0" applyNumberFormat="1" applyFont="1" applyFill="1" applyBorder="1" applyAlignment="1">
      <x:alignment vertical="top" wrapText="1"/>
    </x:xf>
    <x:xf numFmtId="0" fontId="0" fillId="5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 applyAlignment="1">
      <x:alignment vertical="top"/>
    </x:xf>
    <x:xf numFmtId="200" fontId="0" fillId="0" borderId="17" xfId="0" applyNumberFormat="1" applyFont="1" applyFill="1" applyBorder="1" applyAlignment="1">
      <x:alignment vertical="top"/>
    </x:xf>
    <x:xf numFmtId="0" fontId="0" fillId="0" borderId="17" xfId="0" applyNumberFormat="1" applyFont="1" applyFill="1" applyBorder="1" applyAlignment="1">
      <x:alignment vertical="top"/>
    </x:xf>
    <x:xf numFmtId="0" fontId="0" fillId="0" borderId="17" xfId="0" applyNumberFormat="1" applyFont="1" applyFill="1" applyBorder="1" applyAlignment="1">
      <x:alignment vertical="top" wrapText="1"/>
    </x:xf>
    <x:xf numFmtId="201" fontId="0" fillId="0" borderId="17" xfId="0" applyNumberFormat="1" applyFont="1" applyFill="1" applyBorder="1" applyAlignment="1">
      <x:alignment vertical="top" wrapText="1"/>
    </x:xf>
    <x:xf numFmtId="202" fontId="0" fillId="0" borderId="17" xfId="0" applyNumberFormat="1" applyFont="1" applyFill="1" applyBorder="1" applyAlignment="1">
      <x:alignment vertical="top" wrapText="1"/>
    </x:xf>
    <x:xf numFmtId="203" fontId="0" fillId="0" borderId="17" xfId="0" applyNumberFormat="1" applyFont="1" applyFill="1" applyBorder="1" applyAlignment="1">
      <x:alignment vertical="top" wrapText="1"/>
    </x:xf>
    <x:xf numFmtId="0" fontId="0" fillId="5" borderId="17" xfId="0" applyNumberFormat="1" applyFont="1" applyFill="1" applyBorder="1" applyAlignment="1">
      <x:alignment vertical="top" wrapText="1"/>
    </x:xf>
    <x:xf numFmtId="0" fontId="0" fillId="5" borderId="18" xfId="0" applyNumberFormat="1" applyFont="1" applyFill="1" applyBorder="1" applyAlignment="1">
      <x:alignment vertical="top" wrapText="1"/>
    </x:xf>
    <x:xf numFmtId="204" fontId="0" fillId="0" borderId="0" xfId="0" applyNumberFormat="1" applyFont="1" applyFill="1" applyBorder="1"/>
    <x:xf numFmtId="0" fontId="0" fillId="0" borderId="1" xfId="0" applyNumberFormat="1" applyFont="1" applyFill="1" applyBorder="1"/>
    <x:xf numFmtId="203" fontId="0" fillId="0" borderId="3" xfId="0" applyNumberFormat="1" applyFont="1" applyFill="1" applyBorder="1"/>
    <x:xf numFmtId="203" fontId="0" fillId="0" borderId="6" xfId="0" applyNumberFormat="1" applyFont="1" applyFill="1" applyBorder="1"/>
    <x:xf numFmtId="204" fontId="0" fillId="0" borderId="9" xfId="0" applyNumberFormat="1" applyFont="1" applyFill="1" applyBorder="1"/>
    <x:xf numFmtId="0" fontId="1" fillId="4" borderId="10" xfId="0" applyNumberFormat="1" applyFont="1" applyFill="1" applyBorder="1"/>
    <x:xf numFmtId="0" fontId="1" fillId="4" borderId="12" xfId="0" applyNumberFormat="1" applyFont="1" applyFill="1" applyBorder="1"/>
    <x:xf numFmtId="0" fontId="0" fillId="0" borderId="13" xfId="0" applyNumberFormat="1" applyFont="1" applyFill="1" applyBorder="1"/>
    <x:xf numFmtId="203" fontId="0" fillId="0" borderId="15" xfId="0" applyNumberFormat="1" applyFont="1" applyFill="1" applyBorder="1"/>
    <x:xf numFmtId="0" fontId="0" fillId="0" borderId="16" xfId="0" applyNumberFormat="1" applyFont="1" applyFill="1" applyBorder="1"/>
    <x:xf numFmtId="203" fontId="0" fillId="0" borderId="18" xfId="0" applyNumberFormat="1" applyFont="1" applyFill="1" applyBorder="1"/>
    <x:xf numFmtId="205" fontId="0" fillId="0" borderId="0" xfId="0" applyNumberFormat="1" applyFont="1" applyFill="1" applyBorder="1"/>
    <x:xf numFmtId="205" fontId="0" fillId="0" borderId="3" xfId="0" applyNumberFormat="1" applyFont="1" applyFill="1" applyBorder="1"/>
    <x:xf numFmtId="205" fontId="0" fillId="0" borderId="6" xfId="0" applyNumberFormat="1" applyFont="1" applyFill="1" applyBorder="1"/>
    <x:xf numFmtId="205" fontId="0" fillId="0" borderId="9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1" fillId="4" borderId="1" xfId="0" applyNumberFormat="1" applyFont="1" applyFill="1" applyBorder="1"/>
    <x:xf numFmtId="0" fontId="1" fillId="4" borderId="2" xfId="0" applyNumberFormat="1" applyFont="1" applyFill="1" applyBorder="1"/>
    <x:xf numFmtId="0" fontId="1" fillId="4" borderId="3" xfId="0" applyNumberFormat="1" applyFont="1" applyFill="1" applyBorder="1"/>
    <x:xf numFmtId="205" fontId="0" fillId="0" borderId="5" xfId="0" applyNumberFormat="1" applyFont="1" applyFill="1" applyBorder="1"/>
    <x:xf numFmtId="200" fontId="0" fillId="0" borderId="5" xfId="0" applyNumberFormat="1" applyFont="1" applyFill="1" applyBorder="1"/>
    <x:xf numFmtId="200" fontId="0" fillId="0" borderId="8" xfId="0" applyNumberFormat="1" applyFont="1" applyFill="1" applyBorder="1"/>
    <x:xf numFmtId="0" fontId="0" fillId="0" borderId="6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</x:cellXfs>
  <x:cellStyles count="1">
    <x:cellStyle name="Normal" xfId="0"/>
  </x:cellStyles>
  <x:dxfs count="4"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27629c297b34577" /><Relationship Type="http://schemas.openxmlformats.org/officeDocument/2006/relationships/theme" Target="/xl/theme/theme1.xml" Id="R8831602d22d54331" /><Relationship Type="http://schemas.openxmlformats.org/officeDocument/2006/relationships/sharedStrings" Target="/xl/sharedStrings.xml" Id="R1f4123da60fe4689" /><Relationship Type="http://schemas.openxmlformats.org/officeDocument/2006/relationships/worksheet" Target="/xl/worksheets/sheet1.xml" Id="R2eceeb397dcd412e" /><Relationship Type="http://schemas.openxmlformats.org/officeDocument/2006/relationships/worksheet" Target="/xl/worksheets/sheet2.xml" Id="R31bd50615f454c03" /><Relationship Type="http://schemas.openxmlformats.org/officeDocument/2006/relationships/worksheet" Target="/xl/worksheets/sheet3.xml" Id="R14c14cdaa03b441c" /><Relationship Type="http://schemas.openxmlformats.org/officeDocument/2006/relationships/worksheet" Target="/xl/worksheets/sheet4.xml" Id="R6e824aa1351f4eed" /><Relationship Type="http://schemas.openxmlformats.org/officeDocument/2006/relationships/worksheet" Target="/xl/worksheets/sheet5.xml" Id="R821e57ec47164877" /></Relationships>
</file>

<file path=xl/tables/table1.xml><?xml version="1.0" encoding="utf-8"?>
<x:table xmlns:x="http://schemas.openxmlformats.org/spreadsheetml/2006/main" id="1" name="MovimientosAgosto" displayName="MovimientosAgosto" ref="A5:X118" headerRowCount="1" totalsRowCount="0" totalsRowShown="0">
  <x:tableColumns count="24">
    <x:tableColumn id="1" name="ID"/>
    <x:tableColumn id="2" name="Fecha"/>
    <x:tableColumn id="3" name="Cuenta"/>
    <x:tableColumn id="4" name="Moneda"/>
    <x:tableColumn id="5" name="Descripcion bancaria"/>
    <x:tableColumn id="6" name="Debito original"/>
    <x:tableColumn id="7" name="Credito original"/>
    <x:tableColumn id="8" name="TC C$/US$"/>
    <x:tableColumn id="9" name="Debito USD"/>
    <x:tableColumn id="10" name="Credito USD"/>
    <x:tableColumn id="11" name="Flujo neto USD"/>
    <x:tableColumn id="12" name="Naturaleza"/>
    <x:tableColumn id="13" name="Categoria sugerida"/>
    <x:tableColumn id="14" name="Tratamiento sugerido"/>
    <x:tableColumn id="15" name="Responsable sugerido"/>
    <x:tableColumn id="16" name="Periodo sugerido"/>
    <x:tableColumn id="17" name="Justificacion del usuario"/>
    <x:tableColumn id="18" name="Categoria final"/>
    <x:tableColumn id="19" name="Tratamiento final"/>
    <x:tableColumn id="20" name="Responsable final"/>
    <x:tableColumn id="21" name="Proyecto/cliente final"/>
    <x:tableColumn id="22" name="Comprobante o referencia"/>
    <x:tableColumn id="23" name="Estado revision"/>
    <x:tableColumn id="24" name="Observacion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ba1e70bcdcf42f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34" hidden="0" customWidth="1"/>
    <x:col min="4" max="4" width="28" hidden="0" customWidth="1"/>
    <x:col min="5" max="5" width="18" hidden="0" customWidth="1"/>
  </x:cols>
  <x:sheetData>
    <x:row r="1" ht="30" customHeight="1">
      <x:c r="A1" s="13" t="str">
        <x:v>RESUMEN DE CONCILIACION - AGOSTO 2026</x:v>
      </x:c>
      <x:c r="B1" s="13"/>
      <x:c r="C1" s="13"/>
      <x:c r="D1" s="13"/>
      <x:c r="E1" s="13"/>
      <x:c r="F1" s="13"/>
    </x:row>
    <x:row r="3">
      <x:c r="A3" s="18" t="str">
        <x:v>Indicador</x:v>
      </x:c>
      <x:c r="B3" s="18" t="str">
        <x:v>Monto USD</x:v>
      </x:c>
      <x:c r="D3" s="18" t="str">
        <x:v>Dato de control</x:v>
      </x:c>
      <x:c r="E3" s="18" t="str">
        <x:v>Valor</x:v>
      </x:c>
    </x:row>
    <x:row r="4">
      <x:c r="A4" s="64" t="str">
        <x:v>Debitos brutos</x:v>
      </x:c>
      <x:c r="B4" s="65" t="n">
        <x:f>SUM('Movimientos'!I6:I118)</x:f>
        <x:v>6321.166803840876</x:v>
      </x:c>
      <x:c r="D4" s="64" t="str">
        <x:v>Tasa usada C$/US$</x:v>
      </x:c>
      <x:c r="E4" s="75" t="n">
        <x:v>36.45</x:v>
      </x:c>
    </x:row>
    <x:row r="5">
      <x:c r="A5" s="6" t="str">
        <x:v>Creditos brutos</x:v>
      </x:c>
      <x:c r="B5" s="66" t="n">
        <x:f>SUM('Movimientos'!J6:J118)</x:f>
        <x:v>7315.684101508918</x:v>
      </x:c>
      <x:c r="D5" s="6" t="str">
        <x:v>Cuenta USD - debitos</x:v>
      </x:c>
      <x:c r="E5" s="76" t="n">
        <x:f>SUMIF('Movimientos'!C6:C118,"USD 34232261",'Movimientos'!F6:F118)</x:f>
        <x:v>5561.999999999997</x:v>
      </x:c>
    </x:row>
    <x:row r="6">
      <x:c r="A6" s="6" t="str">
        <x:v>Salidas por transferencias internas</x:v>
      </x:c>
      <x:c r="B6" s="66" t="n">
        <x:f>SUMIF('Movimientos'!R6:R118,"Transferencia interna",'Movimientos'!I6:I118)</x:f>
        <x:v>437.5776954732511</x:v>
      </x:c>
      <x:c r="D6" s="6" t="str">
        <x:v>Cuenta USD - creditos</x:v>
      </x:c>
      <x:c r="E6" s="76" t="n">
        <x:f>SUMIF('Movimientos'!C6:C118,"USD 34232261",'Movimientos'!G6:G118)</x:f>
        <x:v>6539.990000000001</x:v>
      </x:c>
    </x:row>
    <x:row r="7">
      <x:c r="A7" s="6" t="str">
        <x:v>Salidas externas brutas</x:v>
      </x:c>
      <x:c r="B7" s="66" t="n">
        <x:f>B4-B6</x:f>
        <x:v>5883.589108367625</x:v>
      </x:c>
      <x:c r="D7" s="6" t="str">
        <x:v>Cuenta NIO - debitos</x:v>
      </x:c>
      <x:c r="E7" s="76" t="n">
        <x:f>SUMIF('Movimientos'!C6:C118,"NIO 39081312",'Movimientos'!F6:F118)</x:f>
        <x:v>27671.629999999997</x:v>
      </x:c>
    </x:row>
    <x:row r="8">
      <x:c r="A8" s="6" t="str">
        <x:v>Reversiones/reembolsos</x:v>
      </x:c>
      <x:c r="B8" s="66" t="n">
        <x:f>SUMIF('Movimientos'!R6:R118,"Reversion/reembolso",'Movimientos'!J6:J118)</x:f>
        <x:v>12.18</x:v>
      </x:c>
      <x:c r="D8" s="9" t="str">
        <x:v>Cuenta NIO - creditos</x:v>
      </x:c>
      <x:c r="E8" s="77" t="n">
        <x:f>SUMIF('Movimientos'!C6:C118,"NIO 39081312",'Movimientos'!G6:G118)</x:f>
        <x:v>28274.05</x:v>
      </x:c>
    </x:row>
    <x:row r="9">
      <x:c r="A9" s="6" t="str">
        <x:v>Salidas externas netas</x:v>
      </x:c>
      <x:c r="B9" s="66" t="n">
        <x:f>B7-B8</x:f>
        <x:v>5871.409108367625</x:v>
      </x:c>
    </x:row>
    <x:row r="10">
      <x:c r="A10" s="9" t="str">
        <x:v>Movimientos pendientes de justificar</x:v>
      </x:c>
      <x:c r="B10" s="67" t="n">
        <x:f>COUNTIF('Movimientos'!W6:W118,"Pendiente")</x:f>
        <x:v>91</x:v>
      </x:c>
    </x:row>
    <x:row r="12">
      <x:c r="A12" s="68" t="str">
        <x:v>Categoria final</x:v>
      </x:c>
      <x:c r="B12" s="69" t="str">
        <x:v>Debitos USD</x:v>
      </x:c>
    </x:row>
    <x:row r="13">
      <x:c r="A13" s="70" t="str">
        <x:v>Anticipo mantenimiento vehiculo</x:v>
      </x:c>
      <x:c r="B13" s="71" t="n">
        <x:f>SUMIF('Movimientos'!$R$6:$R$118,A13,'Movimientos'!$I$6:$I$118)</x:f>
        <x:v>760</x:v>
      </x:c>
    </x:row>
    <x:row r="14">
      <x:c r="A14" s="70" t="str">
        <x:v>Anticipo por liquidar</x:v>
      </x:c>
      <x:c r="B14" s="71" t="n">
        <x:f>SUMIF('Movimientos'!$R$6:$R$118,A14,'Movimientos'!$I$6:$I$118)</x:f>
        <x:v>0</x:v>
      </x:c>
    </x:row>
    <x:row r="15">
      <x:c r="A15" s="70" t="str">
        <x:v>Caja chica</x:v>
      </x:c>
      <x:c r="B15" s="71" t="n">
        <x:f>SUMIF('Movimientos'!$R$6:$R$118,A15,'Movimientos'!$I$6:$I$118)</x:f>
        <x:v>233.17000000000002</x:v>
      </x:c>
    </x:row>
    <x:row r="16">
      <x:c r="A16" s="70" t="str">
        <x:v>Combustible</x:v>
      </x:c>
      <x:c r="B16" s="71" t="n">
        <x:f>SUMIF('Movimientos'!$R$6:$R$118,A16,'Movimientos'!$I$6:$I$118)</x:f>
        <x:v>186.25002743484222</x:v>
      </x:c>
    </x:row>
    <x:row r="17">
      <x:c r="A17" s="70" t="str">
        <x:v>Combustible entregado</x:v>
      </x:c>
      <x:c r="B17" s="71" t="n">
        <x:f>SUMIF('Movimientos'!$R$6:$R$118,A17,'Movimientos'!$I$6:$I$118)</x:f>
        <x:v>27.43</x:v>
      </x:c>
    </x:row>
    <x:row r="18">
      <x:c r="A18" s="70" t="str">
        <x:v>Combustible y viaticos</x:v>
      </x:c>
      <x:c r="B18" s="71" t="n">
        <x:f>SUMIF('Movimientos'!$R$6:$R$118,A18,'Movimientos'!$I$6:$I$118)</x:f>
        <x:v>70</x:v>
      </x:c>
    </x:row>
    <x:row r="19">
      <x:c r="A19" s="70" t="str">
        <x:v>Comisiones bancarias</x:v>
      </x:c>
      <x:c r="B19" s="71" t="n">
        <x:f>SUMIF('Movimientos'!$R$6:$R$118,A19,'Movimientos'!$I$6:$I$118)</x:f>
        <x:v>4.445939643347051</x:v>
      </x:c>
    </x:row>
    <x:row r="20">
      <x:c r="A20" s="70" t="str">
        <x:v>Comisiones e impuestos bancarios</x:v>
      </x:c>
      <x:c r="B20" s="71" t="n">
        <x:f>SUMIF('Movimientos'!$R$6:$R$118,A20,'Movimientos'!$I$6:$I$118)</x:f>
        <x:v>0.02</x:v>
      </x:c>
    </x:row>
    <x:row r="21">
      <x:c r="A21" s="70" t="str">
        <x:v>Consumo personal</x:v>
      </x:c>
      <x:c r="B21" s="71" t="n">
        <x:f>SUMIF('Movimientos'!$R$6:$R$118,A21,'Movimientos'!$I$6:$I$118)</x:f>
        <x:v>265.5250754458162</x:v>
      </x:c>
    </x:row>
    <x:row r="22">
      <x:c r="A22" s="70" t="str">
        <x:v>Consumo personal recuperable</x:v>
      </x:c>
      <x:c r="B22" s="71" t="n">
        <x:f>SUMIF('Movimientos'!$R$6:$R$118,A22,'Movimientos'!$I$6:$I$118)</x:f>
        <x:v>56.24</x:v>
      </x:c>
    </x:row>
    <x:row r="23">
      <x:c r="A23" s="70" t="str">
        <x:v>Entrada no comercial</x:v>
      </x:c>
      <x:c r="B23" s="71" t="n">
        <x:f>SUMIF('Movimientos'!$R$6:$R$118,A23,'Movimientos'!$I$6:$I$118)</x:f>
        <x:v>0</x:v>
      </x:c>
    </x:row>
    <x:row r="24">
      <x:c r="A24" s="70" t="str">
        <x:v>Entrada personal</x:v>
      </x:c>
      <x:c r="B24" s="71" t="n">
        <x:f>SUMIF('Movimientos'!$R$6:$R$118,A24,'Movimientos'!$I$6:$I$118)</x:f>
        <x:v>0</x:v>
      </x:c>
    </x:row>
    <x:row r="25">
      <x:c r="A25" s="70" t="str">
        <x:v>Equipos de proyecto</x:v>
      </x:c>
      <x:c r="B25" s="71" t="n">
        <x:f>SUMIF('Movimientos'!$R$6:$R$118,A25,'Movimientos'!$I$6:$I$118)</x:f>
        <x:v>1778.77</x:v>
      </x:c>
    </x:row>
    <x:row r="26">
      <x:c r="A26" s="70" t="str">
        <x:v>Fondos de periodo anterior</x:v>
      </x:c>
      <x:c r="B26" s="71" t="n">
        <x:f>SUMIF('Movimientos'!$R$6:$R$118,A26,'Movimientos'!$I$6:$I$118)</x:f>
        <x:v>0</x:v>
      </x:c>
    </x:row>
    <x:row r="27">
      <x:c r="A27" s="70" t="str">
        <x:v>Gasto empresarial</x:v>
      </x:c>
      <x:c r="B27" s="71" t="n">
        <x:f>SUMIF('Movimientos'!$R$6:$R$118,A27,'Movimientos'!$I$6:$I$118)</x:f>
        <x:v>0</x:v>
      </x:c>
    </x:row>
    <x:row r="28">
      <x:c r="A28" s="70" t="str">
        <x:v>Mixto: viatico y recuperable</x:v>
      </x:c>
      <x:c r="B28" s="71" t="n">
        <x:f>SUMIF('Movimientos'!$R$6:$R$118,A28,'Movimientos'!$I$6:$I$118)</x:f>
        <x:v>29.41</x:v>
      </x:c>
    </x:row>
    <x:row r="29">
      <x:c r="A29" s="70" t="str">
        <x:v>Nomina</x:v>
      </x:c>
      <x:c r="B29" s="71" t="n">
        <x:f>SUMIF('Movimientos'!$R$6:$R$118,A29,'Movimientos'!$I$6:$I$118)</x:f>
        <x:v>315.9796296296296</x:v>
      </x:c>
    </x:row>
    <x:row r="30">
      <x:c r="A30" s="70" t="str">
        <x:v>Nomina atrasada</x:v>
      </x:c>
      <x:c r="B30" s="71" t="n">
        <x:f>SUMIF('Movimientos'!$R$6:$R$118,A30,'Movimientos'!$I$6:$I$118)</x:f>
        <x:v>164.60905349794237</x:v>
      </x:c>
    </x:row>
    <x:row r="31">
      <x:c r="A31" s="70" t="str">
        <x:v>Nomina corriente</x:v>
      </x:c>
      <x:c r="B31" s="71" t="n">
        <x:f>SUMIF('Movimientos'!$R$6:$R$118,A31,'Movimientos'!$I$6:$I$118)</x:f>
        <x:v>0</x:v>
      </x:c>
    </x:row>
    <x:row r="32">
      <x:c r="A32" s="70" t="str">
        <x:v>Pago de deuda personal</x:v>
      </x:c>
      <x:c r="B32" s="71" t="n">
        <x:f>SUMIF('Movimientos'!$R$6:$R$118,A32,'Movimientos'!$I$6:$I$118)</x:f>
        <x:v>27.434842249657063</x:v>
      </x:c>
    </x:row>
    <x:row r="33">
      <x:c r="A33" s="70" t="str">
        <x:v>Pendiente de clasificar</x:v>
      </x:c>
      <x:c r="B33" s="71" t="n">
        <x:f>SUMIF('Movimientos'!$R$6:$R$118,A33,'Movimientos'!$I$6:$I$118)</x:f>
        <x:v>0</x:v>
      </x:c>
    </x:row>
    <x:row r="34">
      <x:c r="A34" s="70" t="str">
        <x:v>Prestamo</x:v>
      </x:c>
      <x:c r="B34" s="71" t="n">
        <x:f>SUMIF('Movimientos'!$R$6:$R$118,A34,'Movimientos'!$I$6:$I$118)</x:f>
        <x:v>0</x:v>
      </x:c>
    </x:row>
    <x:row r="35">
      <x:c r="A35" s="70" t="str">
        <x:v>Prestamo a empleado</x:v>
      </x:c>
      <x:c r="B35" s="71" t="n">
        <x:f>SUMIF('Movimientos'!$R$6:$R$118,A35,'Movimientos'!$I$6:$I$118)</x:f>
        <x:v>548.69</x:v>
      </x:c>
    </x:row>
    <x:row r="36">
      <x:c r="A36" s="70" t="str">
        <x:v>Publicidad</x:v>
      </x:c>
      <x:c r="B36" s="71" t="n">
        <x:f>SUMIF('Movimientos'!$R$6:$R$118,A36,'Movimientos'!$I$6:$I$118)</x:f>
        <x:v>10.4</x:v>
      </x:c>
    </x:row>
    <x:row r="37">
      <x:c r="A37" s="70" t="str">
        <x:v>Renta de modulo</x:v>
      </x:c>
      <x:c r="B37" s="71" t="n">
        <x:f>SUMIF('Movimientos'!$R$6:$R$118,A37,'Movimientos'!$I$6:$I$118)</x:f>
        <x:v>500</x:v>
      </x:c>
    </x:row>
    <x:row r="38">
      <x:c r="A38" s="70" t="str">
        <x:v>Retiro para nomina</x:v>
      </x:c>
      <x:c r="B38" s="71" t="n">
        <x:f>SUMIF('Movimientos'!$R$6:$R$118,A38,'Movimientos'!$I$6:$I$118)</x:f>
        <x:v>480.1019478737997</x:v>
      </x:c>
    </x:row>
    <x:row r="39">
      <x:c r="A39" s="70" t="str">
        <x:v>Retiro sin justificar</x:v>
      </x:c>
      <x:c r="B39" s="71" t="n">
        <x:f>SUMIF('Movimientos'!$R$6:$R$118,A39,'Movimientos'!$I$6:$I$118)</x:f>
        <x:v>82.29710562414266</x:v>
      </x:c>
    </x:row>
    <x:row r="40">
      <x:c r="A40" s="70" t="str">
        <x:v>Servicio sin identificar</x:v>
      </x:c>
      <x:c r="B40" s="71" t="n">
        <x:f>SUMIF('Movimientos'!$R$6:$R$118,A40,'Movimientos'!$I$6:$I$118)</x:f>
        <x:v>13.389396433470507</x:v>
      </x:c>
    </x:row>
    <x:row r="41">
      <x:c r="A41" s="70" t="str">
        <x:v>Software y suscripciones</x:v>
      </x:c>
      <x:c r="B41" s="71" t="n">
        <x:f>SUMIF('Movimientos'!$R$6:$R$118,A41,'Movimientos'!$I$6:$I$118)</x:f>
        <x:v>50.88550068587106</x:v>
      </x:c>
    </x:row>
    <x:row r="42">
      <x:c r="A42" s="70" t="str">
        <x:v>Telecomunicaciones</x:v>
      </x:c>
      <x:c r="B42" s="71" t="n">
        <x:f>SUMIF('Movimientos'!$R$6:$R$118,A42,'Movimientos'!$I$6:$I$118)</x:f>
        <x:v>33.19</x:v>
      </x:c>
    </x:row>
    <x:row r="43">
      <x:c r="A43" s="70" t="str">
        <x:v>Transferencia interna</x:v>
      </x:c>
      <x:c r="B43" s="71" t="n">
        <x:f>SUMIF('Movimientos'!$R$6:$R$118,A43,'Movimientos'!$I$6:$I$118)</x:f>
        <x:v>437.5776954732511</x:v>
      </x:c>
    </x:row>
    <x:row r="44">
      <x:c r="A44" s="70" t="str">
        <x:v>Viaticos</x:v>
      </x:c>
      <x:c r="B44" s="71" t="n">
        <x:f>SUMIF('Movimientos'!$R$6:$R$118,A44,'Movimientos'!$I$6:$I$118)</x:f>
        <x:v>101.62090534979424</x:v>
      </x:c>
    </x:row>
    <x:row r="45">
      <x:c r="A45" s="70" t="str">
        <x:v>Viaticos - alimentacion</x:v>
      </x:c>
      <x:c r="B45" s="71" t="n">
        <x:f>SUMIF('Movimientos'!$R$6:$R$118,A45,'Movimientos'!$I$6:$I$118)</x:f>
        <x:v>72.43</x:v>
      </x:c>
    </x:row>
    <x:row r="46">
      <x:c r="A46" s="70" t="str">
        <x:v>Viaticos - hotel</x:v>
      </x:c>
      <x:c r="B46" s="71" t="n">
        <x:f>SUMIF('Movimientos'!$R$6:$R$118,A46,'Movimientos'!$I$6:$I$118)</x:f>
        <x:v>16.43</x:v>
      </x:c>
    </x:row>
    <x:row r="47">
      <x:c r="A47" s="72" t="str">
        <x:v>Viaticos en efectivo</x:v>
      </x:c>
      <x:c r="B47" s="73" t="n">
        <x:f>SUMIF('Movimientos'!$R$6:$R$118,A47,'Movimientos'!$I$6:$I$118)</x:f>
        <x:v>54.869684499314126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12" hidden="0" customWidth="1"/>
    <x:col min="3" max="3" width="16" hidden="0" customWidth="1"/>
    <x:col min="4" max="4" width="9" hidden="0" customWidth="1"/>
    <x:col min="5" max="5" width="34" hidden="0" customWidth="1"/>
    <x:col min="6" max="6" width="15" hidden="0" customWidth="1"/>
    <x:col min="7" max="7" width="15" hidden="0" customWidth="1"/>
    <x:col min="8" max="8" width="12" hidden="0" customWidth="1"/>
    <x:col min="9" max="9" width="14" hidden="0" customWidth="1"/>
    <x:col min="10" max="10" width="14" hidden="0" customWidth="1"/>
    <x:col min="11" max="11" width="15" hidden="0" customWidth="1"/>
    <x:col min="12" max="12" width="11" hidden="0" customWidth="1"/>
    <x:col min="13" max="13" width="25" hidden="0" customWidth="1"/>
    <x:col min="14" max="14" width="24" hidden="0" customWidth="1"/>
    <x:col min="15" max="15" width="22" hidden="0" customWidth="1"/>
    <x:col min="16" max="16" width="14" hidden="0" customWidth="1"/>
    <x:col min="17" max="17" width="36" hidden="0" customWidth="1"/>
    <x:col min="18" max="18" width="25" hidden="0" customWidth="1"/>
    <x:col min="19" max="19" width="24" hidden="0" customWidth="1"/>
    <x:col min="20" max="20" width="22" hidden="0" customWidth="1"/>
    <x:col min="21" max="21" width="24" hidden="0" customWidth="1"/>
    <x:col min="22" max="22" width="25" hidden="0" customWidth="1"/>
    <x:col min="23" max="23" width="18" hidden="0" customWidth="1"/>
    <x:col min="24" max="24" width="32" hidden="0" customWidth="1"/>
  </x:cols>
  <x:sheetData>
    <x:row r="1" ht="30" customHeight="1">
      <x:c r="A1" s="13" t="str">
        <x:v>NORTHLINK MICROSYSTEM - CONCILIACION DE MOVIMIENTOS AGOSTO 2026</x:v>
      </x:c>
      <x:c r="B1" s="13"/>
      <x:c r="C1" s="13"/>
      <x:c r="D1" s="13"/>
      <x:c r="E1" s="13"/>
      <x:c r="F1" s="13"/>
      <x:c r="G1" s="13"/>
      <x:c r="H1" s="13"/>
      <x:c r="I1" s="13"/>
      <x:c r="J1" s="13"/>
      <x:c r="K1" s="13"/>
      <x:c r="L1" s="13"/>
      <x:c r="M1" s="13"/>
      <x:c r="N1" s="13"/>
      <x:c r="O1" s="13"/>
      <x:c r="P1" s="13"/>
      <x:c r="Q1" s="13"/>
      <x:c r="R1" s="13"/>
      <x:c r="S1" s="13"/>
      <x:c r="T1" s="13"/>
      <x:c r="U1" s="13"/>
      <x:c r="V1" s="13"/>
      <x:c r="W1" s="13"/>
      <x:c r="X1" s="13"/>
    </x:row>
    <x:row r="2" ht="24" customHeight="1">
      <x:c r="A2" s="16" t="str">
        <x:v>Complete las columnas amarillas. Los importes en USD se calculan con la tasa indicada en cada fila.</x:v>
      </x:c>
      <x:c r="B2" s="16"/>
      <x:c r="C2" s="16"/>
      <x:c r="D2" s="16"/>
      <x:c r="E2" s="16"/>
      <x:c r="F2" s="16"/>
      <x:c r="G2" s="16"/>
      <x:c r="H2" s="16"/>
      <x:c r="I2" s="16"/>
      <x:c r="J2" s="16"/>
      <x:c r="K2" s="16"/>
      <x:c r="L2" s="16"/>
      <x:c r="M2" s="16"/>
      <x:c r="N2" s="16"/>
      <x:c r="O2" s="16"/>
      <x:c r="P2" s="16"/>
      <x:c r="Q2" s="16"/>
      <x:c r="R2" s="16"/>
      <x:c r="S2" s="16"/>
      <x:c r="T2" s="16"/>
      <x:c r="U2" s="16"/>
      <x:c r="V2" s="16"/>
      <x:c r="W2" s="16"/>
      <x:c r="X2" s="16"/>
    </x:row>
    <x:row r="5" ht="42" customHeight="1">
      <x:c r="A5" s="21" t="str">
        <x:v>ID</x:v>
      </x:c>
      <x:c r="B5" s="21" t="str">
        <x:v>Fecha</x:v>
      </x:c>
      <x:c r="C5" s="21" t="str">
        <x:v>Cuenta</x:v>
      </x:c>
      <x:c r="D5" s="21" t="str">
        <x:v>Moneda</x:v>
      </x:c>
      <x:c r="E5" s="21" t="str">
        <x:v>Descripcion bancaria</x:v>
      </x:c>
      <x:c r="F5" s="21" t="str">
        <x:v>Debito original</x:v>
      </x:c>
      <x:c r="G5" s="21" t="str">
        <x:v>Credito original</x:v>
      </x:c>
      <x:c r="H5" s="21" t="str">
        <x:v>TC C$/US$</x:v>
      </x:c>
      <x:c r="I5" s="21" t="str">
        <x:v>Debito USD</x:v>
      </x:c>
      <x:c r="J5" s="21" t="str">
        <x:v>Credito USD</x:v>
      </x:c>
      <x:c r="K5" s="21" t="str">
        <x:v>Flujo neto USD</x:v>
      </x:c>
      <x:c r="L5" s="21" t="str">
        <x:v>Naturaleza</x:v>
      </x:c>
      <x:c r="M5" s="21" t="str">
        <x:v>Categoria sugerida</x:v>
      </x:c>
      <x:c r="N5" s="21" t="str">
        <x:v>Tratamiento sugerido</x:v>
      </x:c>
      <x:c r="O5" s="21" t="str">
        <x:v>Responsable sugerido</x:v>
      </x:c>
      <x:c r="P5" s="21" t="str">
        <x:v>Periodo sugerido</x:v>
      </x:c>
      <x:c r="Q5" s="21" t="str">
        <x:v>Justificacion del usuario</x:v>
      </x:c>
      <x:c r="R5" s="21" t="str">
        <x:v>Categoria final</x:v>
      </x:c>
      <x:c r="S5" s="21" t="str">
        <x:v>Tratamiento final</x:v>
      </x:c>
      <x:c r="T5" s="21" t="str">
        <x:v>Responsable final</x:v>
      </x:c>
      <x:c r="U5" s="21" t="str">
        <x:v>Proyecto/cliente final</x:v>
      </x:c>
      <x:c r="V5" s="21" t="str">
        <x:v>Comprobante o referencia</x:v>
      </x:c>
      <x:c r="W5" s="21" t="str">
        <x:v>Estado revision</x:v>
      </x:c>
      <x:c r="X5" s="21" t="str">
        <x:v>Observaciones</x:v>
      </x:c>
    </x:row>
    <x:row r="6" ht="30" customHeight="1">
      <x:c r="A6" s="36" t="n">
        <x:v>1</x:v>
      </x:c>
      <x:c r="B6" s="37" t="n">
        <x:v>46237.75</x:v>
      </x:c>
      <x:c r="C6" s="38" t="str">
        <x:v>USD 34232261</x:v>
      </x:c>
      <x:c r="D6" s="38" t="str">
        <x:v>USD</x:v>
      </x:c>
      <x:c r="E6" s="39" t="str">
        <x:v>Transferencia entre cuentas</x:v>
      </x:c>
      <x:c r="F6" s="40" t="n">
        <x:v>0</x:v>
      </x:c>
      <x:c r="G6" s="40" t="n">
        <x:v>50</x:v>
      </x:c>
      <x:c r="H6" s="41" t="n">
        <x:v>1</x:v>
      </x:c>
      <x:c r="I6" s="42" t="n">
        <x:f>IF(D6="USD",F6,F6/H6)</x:f>
        <x:v>0</x:v>
      </x:c>
      <x:c r="J6" s="42" t="n">
        <x:f>IF(D6="USD",G6,G6/H6)</x:f>
        <x:v>50</x:v>
      </x:c>
      <x:c r="K6" s="42" t="n">
        <x:f>J6-I6</x:f>
        <x:v>50</x:v>
      </x:c>
      <x:c r="L6" s="39" t="str">
        <x:v>Entrada</x:v>
      </x:c>
      <x:c r="M6" s="39" t="str">
        <x:v>Transferencia interna</x:v>
      </x:c>
      <x:c r="N6" s="39" t="str">
        <x:v>No es ingreso ni gasto</x:v>
      </x:c>
      <x:c r="O6" s="39" t="str">
        <x:v>Harrinton</x:v>
      </x:c>
      <x:c r="P6" s="39" t="str">
        <x:v>Agosto 2026</x:v>
      </x:c>
      <x:c r="Q6" s="43"/>
      <x:c r="R6" s="43" t="str">
        <x:v>Transferencia interna</x:v>
      </x:c>
      <x:c r="S6" s="43" t="str">
        <x:v>No es ingreso ni gasto</x:v>
      </x:c>
      <x:c r="T6" s="43" t="str">
        <x:v>Harrinton</x:v>
      </x:c>
      <x:c r="U6" s="43" t="str"/>
      <x:c r="V6" s="43"/>
      <x:c r="W6" s="43" t="str">
        <x:v>Revisado</x:v>
      </x:c>
      <x:c r="X6" s="44"/>
    </x:row>
    <x:row r="7" ht="30" customHeight="1">
      <x:c r="A7" s="45" t="n">
        <x:v>2</x:v>
      </x:c>
      <x:c r="B7" s="46" t="n">
        <x:v>46237.75</x:v>
      </x:c>
      <x:c r="C7" s="47" t="str">
        <x:v>USD 34232261</x:v>
      </x:c>
      <x:c r="D7" s="47" t="str">
        <x:v>USD</x:v>
      </x:c>
      <x:c r="E7" s="48" t="str">
        <x:v>Estacion de Servicio Esso Esteli</x:v>
      </x:c>
      <x:c r="F7" s="49" t="n">
        <x:v>9.05</x:v>
      </x:c>
      <x:c r="G7" s="49" t="n">
        <x:v>0</x:v>
      </x:c>
      <x:c r="H7" s="50" t="n">
        <x:v>1</x:v>
      </x:c>
      <x:c r="I7" s="51" t="n">
        <x:f>IF(D7="USD",F7,F7/H7)</x:f>
        <x:v>9.05</x:v>
      </x:c>
      <x:c r="J7" s="51" t="n">
        <x:f>IF(D7="USD",G7,G7/H7)</x:f>
        <x:v>0</x:v>
      </x:c>
      <x:c r="K7" s="51" t="n">
        <x:f>J7-I7</x:f>
        <x:v>-9.05</x:v>
      </x:c>
      <x:c r="L7" s="48" t="str">
        <x:v>Salida</x:v>
      </x:c>
      <x:c r="M7" s="48" t="str">
        <x:v>Combustible</x:v>
      </x:c>
      <x:c r="N7" s="48" t="str">
        <x:v>Gasto empresarial</x:v>
      </x:c>
      <x:c r="O7" s="48" t="str"/>
      <x:c r="P7" s="48" t="str">
        <x:v>Agosto 2026</x:v>
      </x:c>
      <x:c r="Q7" s="52"/>
      <x:c r="R7" s="52" t="str">
        <x:v>Combustible</x:v>
      </x:c>
      <x:c r="S7" s="52" t="str">
        <x:v>Gasto empresarial</x:v>
      </x:c>
      <x:c r="T7" s="52" t="str"/>
      <x:c r="U7" s="52" t="str"/>
      <x:c r="V7" s="52"/>
      <x:c r="W7" s="52" t="str">
        <x:v>Pendiente</x:v>
      </x:c>
      <x:c r="X7" s="53"/>
    </x:row>
    <x:row r="8" ht="30" customHeight="1">
      <x:c r="A8" s="45" t="n">
        <x:v>3</x:v>
      </x:c>
      <x:c r="B8" s="46" t="n">
        <x:v>46237.75</x:v>
      </x:c>
      <x:c r="C8" s="47" t="str">
        <x:v>USD 34232261</x:v>
      </x:c>
      <x:c r="D8" s="47" t="str">
        <x:v>USD</x:v>
      </x:c>
      <x:c r="E8" s="48" t="str">
        <x:v>Retiro ATM Matagalpa 3</x:v>
      </x:c>
      <x:c r="F8" s="49" t="n">
        <x:v>27.43</x:v>
      </x:c>
      <x:c r="G8" s="49" t="n">
        <x:v>0</x:v>
      </x:c>
      <x:c r="H8" s="50" t="n">
        <x:v>1</x:v>
      </x:c>
      <x:c r="I8" s="51" t="n">
        <x:f>IF(D8="USD",F8,F8/H8)</x:f>
        <x:v>27.43</x:v>
      </x:c>
      <x:c r="J8" s="51" t="n">
        <x:f>IF(D8="USD",G8,G8/H8)</x:f>
        <x:v>0</x:v>
      </x:c>
      <x:c r="K8" s="51" t="n">
        <x:f>J8-I8</x:f>
        <x:v>-27.43</x:v>
      </x:c>
      <x:c r="L8" s="48" t="str">
        <x:v>Salida</x:v>
      </x:c>
      <x:c r="M8" s="48" t="str">
        <x:v>Combustible entregado</x:v>
      </x:c>
      <x:c r="N8" s="48" t="str">
        <x:v>Anticipo por liquidar</x:v>
      </x:c>
      <x:c r="O8" s="48" t="str">
        <x:v>Jairo</x:v>
      </x:c>
      <x:c r="P8" s="48" t="str">
        <x:v>Agosto 2026</x:v>
      </x:c>
      <x:c r="Q8" s="52"/>
      <x:c r="R8" s="52" t="str">
        <x:v>Combustible entregado</x:v>
      </x:c>
      <x:c r="S8" s="52" t="str">
        <x:v>Anticipo por liquidar</x:v>
      </x:c>
      <x:c r="T8" s="52" t="str">
        <x:v>Jairo</x:v>
      </x:c>
      <x:c r="U8" s="52" t="str"/>
      <x:c r="V8" s="52"/>
      <x:c r="W8" s="52" t="str">
        <x:v>Pendiente</x:v>
      </x:c>
      <x:c r="X8" s="53"/>
    </x:row>
    <x:row r="9" ht="30" customHeight="1">
      <x:c r="A9" s="45" t="n">
        <x:v>4</x:v>
      </x:c>
      <x:c r="B9" s="46" t="n">
        <x:v>46237.75</x:v>
      </x:c>
      <x:c r="C9" s="47" t="str">
        <x:v>USD 34232261</x:v>
      </x:c>
      <x:c r="D9" s="47" t="str">
        <x:v>USD</x:v>
      </x:c>
      <x:c r="E9" s="48" t="str">
        <x:v>Comision retiro ATM</x:v>
      </x:c>
      <x:c r="F9" s="49" t="n">
        <x:v>0.03</x:v>
      </x:c>
      <x:c r="G9" s="49" t="n">
        <x:v>0</x:v>
      </x:c>
      <x:c r="H9" s="50" t="n">
        <x:v>1</x:v>
      </x:c>
      <x:c r="I9" s="51" t="n">
        <x:f>IF(D9="USD",F9,F9/H9)</x:f>
        <x:v>0.03</x:v>
      </x:c>
      <x:c r="J9" s="51" t="n">
        <x:f>IF(D9="USD",G9,G9/H9)</x:f>
        <x:v>0</x:v>
      </x:c>
      <x:c r="K9" s="51" t="n">
        <x:f>J9-I9</x:f>
        <x:v>-0.03</x:v>
      </x:c>
      <x:c r="L9" s="48" t="str">
        <x:v>Salida</x:v>
      </x:c>
      <x:c r="M9" s="48" t="str">
        <x:v>Comisiones bancarias</x:v>
      </x:c>
      <x:c r="N9" s="48" t="str">
        <x:v>Gasto empresarial</x:v>
      </x:c>
      <x:c r="O9" s="48" t="str">
        <x:v>Banco</x:v>
      </x:c>
      <x:c r="P9" s="48" t="str">
        <x:v>Agosto 2026</x:v>
      </x:c>
      <x:c r="Q9" s="52"/>
      <x:c r="R9" s="52" t="str">
        <x:v>Comisiones bancarias</x:v>
      </x:c>
      <x:c r="S9" s="52" t="str">
        <x:v>Gasto empresarial</x:v>
      </x:c>
      <x:c r="T9" s="52" t="str">
        <x:v>Banco</x:v>
      </x:c>
      <x:c r="U9" s="52" t="str"/>
      <x:c r="V9" s="52"/>
      <x:c r="W9" s="52" t="str">
        <x:v>Pendiente</x:v>
      </x:c>
      <x:c r="X9" s="53"/>
    </x:row>
    <x:row r="10" ht="30" customHeight="1">
      <x:c r="A10" s="45" t="n">
        <x:v>5</x:v>
      </x:c>
      <x:c r="B10" s="46" t="n">
        <x:v>46237.75</x:v>
      </x:c>
      <x:c r="C10" s="47" t="str">
        <x:v>USD 34232261</x:v>
      </x:c>
      <x:c r="D10" s="47" t="str">
        <x:v>USD</x:v>
      </x:c>
      <x:c r="E10" s="48" t="str">
        <x:v>Claro Mi Claro Express</x:v>
      </x:c>
      <x:c r="F10" s="49" t="n">
        <x:v>3.29</x:v>
      </x:c>
      <x:c r="G10" s="49" t="n">
        <x:v>0</x:v>
      </x:c>
      <x:c r="H10" s="50" t="n">
        <x:v>1</x:v>
      </x:c>
      <x:c r="I10" s="51" t="n">
        <x:f>IF(D10="USD",F10,F10/H10)</x:f>
        <x:v>3.29</x:v>
      </x:c>
      <x:c r="J10" s="51" t="n">
        <x:f>IF(D10="USD",G10,G10/H10)</x:f>
        <x:v>0</x:v>
      </x:c>
      <x:c r="K10" s="51" t="n">
        <x:f>J10-I10</x:f>
        <x:v>-3.29</x:v>
      </x:c>
      <x:c r="L10" s="48" t="str">
        <x:v>Salida</x:v>
      </x:c>
      <x:c r="M10" s="48" t="str">
        <x:v>Telecomunicaciones</x:v>
      </x:c>
      <x:c r="N10" s="48" t="str">
        <x:v>Pendiente</x:v>
      </x:c>
      <x:c r="O10" s="48" t="str">
        <x:v>Harrinton</x:v>
      </x:c>
      <x:c r="P10" s="48" t="str">
        <x:v>Agosto 2026</x:v>
      </x:c>
      <x:c r="Q10" s="52"/>
      <x:c r="R10" s="52" t="str">
        <x:v>Telecomunicaciones</x:v>
      </x:c>
      <x:c r="S10" s="52" t="str">
        <x:v>Pendiente</x:v>
      </x:c>
      <x:c r="T10" s="52" t="str">
        <x:v>Harrinton</x:v>
      </x:c>
      <x:c r="U10" s="52" t="str"/>
      <x:c r="V10" s="52"/>
      <x:c r="W10" s="52" t="str">
        <x:v>Pendiente</x:v>
      </x:c>
      <x:c r="X10" s="53"/>
    </x:row>
    <x:row r="11" ht="30" customHeight="1">
      <x:c r="A11" s="45" t="n">
        <x:v>6</x:v>
      </x:c>
      <x:c r="B11" s="46" t="n">
        <x:v>46237.75</x:v>
      </x:c>
      <x:c r="C11" s="47" t="str">
        <x:v>USD 34232261</x:v>
      </x:c>
      <x:c r="D11" s="47" t="str">
        <x:v>USD</x:v>
      </x:c>
      <x:c r="E11" s="48" t="str">
        <x:v>Claro Mi Claro Express</x:v>
      </x:c>
      <x:c r="F11" s="49" t="n">
        <x:v>3.29</x:v>
      </x:c>
      <x:c r="G11" s="49" t="n">
        <x:v>0</x:v>
      </x:c>
      <x:c r="H11" s="50" t="n">
        <x:v>1</x:v>
      </x:c>
      <x:c r="I11" s="51" t="n">
        <x:f>IF(D11="USD",F11,F11/H11)</x:f>
        <x:v>3.29</x:v>
      </x:c>
      <x:c r="J11" s="51" t="n">
        <x:f>IF(D11="USD",G11,G11/H11)</x:f>
        <x:v>0</x:v>
      </x:c>
      <x:c r="K11" s="51" t="n">
        <x:f>J11-I11</x:f>
        <x:v>-3.29</x:v>
      </x:c>
      <x:c r="L11" s="48" t="str">
        <x:v>Salida</x:v>
      </x:c>
      <x:c r="M11" s="48" t="str">
        <x:v>Telecomunicaciones</x:v>
      </x:c>
      <x:c r="N11" s="48" t="str">
        <x:v>Pendiente</x:v>
      </x:c>
      <x:c r="O11" s="48" t="str">
        <x:v>Harrinton</x:v>
      </x:c>
      <x:c r="P11" s="48" t="str">
        <x:v>Agosto 2026</x:v>
      </x:c>
      <x:c r="Q11" s="52"/>
      <x:c r="R11" s="52" t="str">
        <x:v>Telecomunicaciones</x:v>
      </x:c>
      <x:c r="S11" s="52" t="str">
        <x:v>Pendiente</x:v>
      </x:c>
      <x:c r="T11" s="52" t="str">
        <x:v>Harrinton</x:v>
      </x:c>
      <x:c r="U11" s="52" t="str"/>
      <x:c r="V11" s="52"/>
      <x:c r="W11" s="52" t="str">
        <x:v>Pendiente</x:v>
      </x:c>
      <x:c r="X11" s="53"/>
    </x:row>
    <x:row r="12" ht="30" customHeight="1">
      <x:c r="A12" s="45" t="n">
        <x:v>7</x:v>
      </x:c>
      <x:c r="B12" s="46" t="n">
        <x:v>46237.75</x:v>
      </x:c>
      <x:c r="C12" s="47" t="str">
        <x:v>USD 34232261</x:v>
      </x:c>
      <x:c r="D12" s="47" t="str">
        <x:v>USD</x:v>
      </x:c>
      <x:c r="E12" s="48" t="str">
        <x:v>Jamylas Caffe La Dalia</x:v>
      </x:c>
      <x:c r="F12" s="49" t="n">
        <x:v>5.34</x:v>
      </x:c>
      <x:c r="G12" s="49" t="n">
        <x:v>0</x:v>
      </x:c>
      <x:c r="H12" s="50" t="n">
        <x:v>1</x:v>
      </x:c>
      <x:c r="I12" s="51" t="n">
        <x:f>IF(D12="USD",F12,F12/H12)</x:f>
        <x:v>5.34</x:v>
      </x:c>
      <x:c r="J12" s="51" t="n">
        <x:f>IF(D12="USD",G12,G12/H12)</x:f>
        <x:v>0</x:v>
      </x:c>
      <x:c r="K12" s="51" t="n">
        <x:f>J12-I12</x:f>
        <x:v>-5.34</x:v>
      </x:c>
      <x:c r="L12" s="48" t="str">
        <x:v>Salida</x:v>
      </x:c>
      <x:c r="M12" s="48" t="str">
        <x:v>Viaticos</x:v>
      </x:c>
      <x:c r="N12" s="48" t="str">
        <x:v>Gasto empresarial</x:v>
      </x:c>
      <x:c r="O12" s="48" t="str">
        <x:v>Equipo Northlink</x:v>
      </x:c>
      <x:c r="P12" s="48" t="str">
        <x:v>Agosto 2026</x:v>
      </x:c>
      <x:c r="Q12" s="52"/>
      <x:c r="R12" s="52" t="str">
        <x:v>Viaticos</x:v>
      </x:c>
      <x:c r="S12" s="52" t="str">
        <x:v>Gasto empresarial</x:v>
      </x:c>
      <x:c r="T12" s="52" t="str">
        <x:v>Equipo Northlink</x:v>
      </x:c>
      <x:c r="U12" s="52" t="str">
        <x:v>Viaje laboral</x:v>
      </x:c>
      <x:c r="V12" s="52"/>
      <x:c r="W12" s="52" t="str">
        <x:v>Pendiente</x:v>
      </x:c>
      <x:c r="X12" s="53"/>
    </x:row>
    <x:row r="13" ht="30" customHeight="1">
      <x:c r="A13" s="45" t="n">
        <x:v>8</x:v>
      </x:c>
      <x:c r="B13" s="46" t="n">
        <x:v>46237.75</x:v>
      </x:c>
      <x:c r="C13" s="47" t="str">
        <x:v>USD 34232261</x:v>
      </x:c>
      <x:c r="D13" s="47" t="str">
        <x:v>USD</x:v>
      </x:c>
      <x:c r="E13" s="48" t="str">
        <x:v>Transferencia entre cuentas</x:v>
      </x:c>
      <x:c r="F13" s="49" t="n">
        <x:v>0</x:v>
      </x:c>
      <x:c r="G13" s="49" t="n">
        <x:v>20</x:v>
      </x:c>
      <x:c r="H13" s="50" t="n">
        <x:v>1</x:v>
      </x:c>
      <x:c r="I13" s="51" t="n">
        <x:f>IF(D13="USD",F13,F13/H13)</x:f>
        <x:v>0</x:v>
      </x:c>
      <x:c r="J13" s="51" t="n">
        <x:f>IF(D13="USD",G13,G13/H13)</x:f>
        <x:v>20</x:v>
      </x:c>
      <x:c r="K13" s="51" t="n">
        <x:f>J13-I13</x:f>
        <x:v>20</x:v>
      </x:c>
      <x:c r="L13" s="48" t="str">
        <x:v>Entrada</x:v>
      </x:c>
      <x:c r="M13" s="48" t="str">
        <x:v>Transferencia interna</x:v>
      </x:c>
      <x:c r="N13" s="48" t="str">
        <x:v>No es ingreso ni gasto</x:v>
      </x:c>
      <x:c r="O13" s="48" t="str">
        <x:v>Harrinton</x:v>
      </x:c>
      <x:c r="P13" s="48" t="str">
        <x:v>Agosto 2026</x:v>
      </x:c>
      <x:c r="Q13" s="52"/>
      <x:c r="R13" s="52" t="str">
        <x:v>Transferencia interna</x:v>
      </x:c>
      <x:c r="S13" s="52" t="str">
        <x:v>No es ingreso ni gasto</x:v>
      </x:c>
      <x:c r="T13" s="52" t="str">
        <x:v>Harrinton</x:v>
      </x:c>
      <x:c r="U13" s="52" t="str"/>
      <x:c r="V13" s="52"/>
      <x:c r="W13" s="52" t="str">
        <x:v>Revisado</x:v>
      </x:c>
      <x:c r="X13" s="53"/>
    </x:row>
    <x:row r="14" ht="30" customHeight="1">
      <x:c r="A14" s="45" t="n">
        <x:v>9</x:v>
      </x:c>
      <x:c r="B14" s="46" t="n">
        <x:v>46237.75</x:v>
      </x:c>
      <x:c r="C14" s="47" t="str">
        <x:v>USD 34232261</x:v>
      </x:c>
      <x:c r="D14" s="47" t="str">
        <x:v>USD</x:v>
      </x:c>
      <x:c r="E14" s="48" t="str">
        <x:v>Envio a Bany</x:v>
      </x:c>
      <x:c r="F14" s="49" t="n">
        <x:v>16.43</x:v>
      </x:c>
      <x:c r="G14" s="49" t="n">
        <x:v>0</x:v>
      </x:c>
      <x:c r="H14" s="50" t="n">
        <x:v>1</x:v>
      </x:c>
      <x:c r="I14" s="51" t="n">
        <x:f>IF(D14="USD",F14,F14/H14)</x:f>
        <x:v>16.43</x:v>
      </x:c>
      <x:c r="J14" s="51" t="n">
        <x:f>IF(D14="USD",G14,G14/H14)</x:f>
        <x:v>0</x:v>
      </x:c>
      <x:c r="K14" s="51" t="n">
        <x:f>J14-I14</x:f>
        <x:v>-16.43</x:v>
      </x:c>
      <x:c r="L14" s="48" t="str">
        <x:v>Salida</x:v>
      </x:c>
      <x:c r="M14" s="48" t="str">
        <x:v>Viaticos - hotel</x:v>
      </x:c>
      <x:c r="N14" s="48" t="str">
        <x:v>Gasto empresarial</x:v>
      </x:c>
      <x:c r="O14" s="48" t="str">
        <x:v>Bany</x:v>
      </x:c>
      <x:c r="P14" s="48" t="str">
        <x:v>Agosto 2026</x:v>
      </x:c>
      <x:c r="Q14" s="52"/>
      <x:c r="R14" s="52" t="str">
        <x:v>Viaticos - hotel</x:v>
      </x:c>
      <x:c r="S14" s="52" t="str">
        <x:v>Gasto empresarial</x:v>
      </x:c>
      <x:c r="T14" s="52" t="str">
        <x:v>Bany</x:v>
      </x:c>
      <x:c r="U14" s="52" t="str">
        <x:v>Viaje Waslala</x:v>
      </x:c>
      <x:c r="V14" s="52"/>
      <x:c r="W14" s="52" t="str">
        <x:v>Pendiente</x:v>
      </x:c>
      <x:c r="X14" s="53"/>
    </x:row>
    <x:row r="15" ht="30" customHeight="1">
      <x:c r="A15" s="45" t="n">
        <x:v>86</x:v>
      </x:c>
      <x:c r="B15" s="46" t="n">
        <x:v>46238.75</x:v>
      </x:c>
      <x:c r="C15" s="47" t="str">
        <x:v>NIO 39081312</x:v>
      </x:c>
      <x:c r="D15" s="47" t="str">
        <x:v>NIO</x:v>
      </x:c>
      <x:c r="E15" s="48" t="str">
        <x:v>Sistema Negocio</x:v>
      </x:c>
      <x:c r="F15" s="49" t="n">
        <x:v>0</x:v>
      </x:c>
      <x:c r="G15" s="49" t="n">
        <x:v>16425</x:v>
      </x:c>
      <x:c r="H15" s="50" t="n">
        <x:v>36.45</x:v>
      </x:c>
      <x:c r="I15" s="51" t="n">
        <x:f>IF(D15="USD",F15,F15/H15)</x:f>
        <x:v>0</x:v>
      </x:c>
      <x:c r="J15" s="51" t="n">
        <x:f>IF(D15="USD",G15,G15/H15)</x:f>
        <x:v>450.61728395061726</x:v>
      </x:c>
      <x:c r="K15" s="51" t="n">
        <x:f>J15-I15</x:f>
        <x:v>450.61728395061726</x:v>
      </x:c>
      <x:c r="L15" s="48" t="str">
        <x:v>Entrada</x:v>
      </x:c>
      <x:c r="M15" s="48" t="str">
        <x:v>Ingreso cliente</x:v>
      </x:c>
      <x:c r="N15" s="48" t="str">
        <x:v>Ingreso empresarial</x:v>
      </x:c>
      <x:c r="O15" s="48" t="str">
        <x:v>Rosidani</x:v>
      </x:c>
      <x:c r="P15" s="48" t="str">
        <x:v>Agosto 2026</x:v>
      </x:c>
      <x:c r="Q15" s="52"/>
      <x:c r="R15" s="52" t="str">
        <x:v>Ingreso cliente</x:v>
      </x:c>
      <x:c r="S15" s="52" t="str">
        <x:v>Ingreso empresarial</x:v>
      </x:c>
      <x:c r="T15" s="52" t="str">
        <x:v>Rosidani</x:v>
      </x:c>
      <x:c r="U15" s="52" t="str">
        <x:v>Vulcanizadora Rios</x:v>
      </x:c>
      <x:c r="V15" s="52"/>
      <x:c r="W15" s="52" t="str">
        <x:v>Revisado</x:v>
      </x:c>
      <x:c r="X15" s="53"/>
    </x:row>
    <x:row r="16" ht="30" customHeight="1">
      <x:c r="A16" s="45" t="n">
        <x:v>87</x:v>
      </x:c>
      <x:c r="B16" s="46" t="n">
        <x:v>46238.75</x:v>
      </x:c>
      <x:c r="C16" s="47" t="str">
        <x:v>NIO 39081312</x:v>
      </x:c>
      <x:c r="D16" s="47" t="str">
        <x:v>NIO</x:v>
      </x:c>
      <x:c r="E16" s="48" t="str">
        <x:v>Google One</x:v>
      </x:c>
      <x:c r="F16" s="49" t="n">
        <x:v>10.78</x:v>
      </x:c>
      <x:c r="G16" s="49" t="n">
        <x:v>0</x:v>
      </x:c>
      <x:c r="H16" s="50" t="n">
        <x:v>36.45</x:v>
      </x:c>
      <x:c r="I16" s="51" t="n">
        <x:f>IF(D16="USD",F16,F16/H16)</x:f>
        <x:v>0.29574759945130313</x:v>
      </x:c>
      <x:c r="J16" s="51" t="n">
        <x:f>IF(D16="USD",G16,G16/H16)</x:f>
        <x:v>0</x:v>
      </x:c>
      <x:c r="K16" s="51" t="n">
        <x:f>J16-I16</x:f>
        <x:v>-0.29574759945130313</x:v>
      </x:c>
      <x:c r="L16" s="48" t="str">
        <x:v>Salida</x:v>
      </x:c>
      <x:c r="M16" s="48" t="str">
        <x:v>Software y suscripciones</x:v>
      </x:c>
      <x:c r="N16" s="48" t="str">
        <x:v>Pendiente</x:v>
      </x:c>
      <x:c r="O16" s="48" t="str">
        <x:v>Harrinton</x:v>
      </x:c>
      <x:c r="P16" s="48" t="str">
        <x:v>Agosto 2026</x:v>
      </x:c>
      <x:c r="Q16" s="52"/>
      <x:c r="R16" s="52" t="str">
        <x:v>Software y suscripciones</x:v>
      </x:c>
      <x:c r="S16" s="52" t="str">
        <x:v>Pendiente</x:v>
      </x:c>
      <x:c r="T16" s="52" t="str">
        <x:v>Harrinton</x:v>
      </x:c>
      <x:c r="U16" s="52" t="str"/>
      <x:c r="V16" s="52"/>
      <x:c r="W16" s="52" t="str">
        <x:v>Pendiente</x:v>
      </x:c>
      <x:c r="X16" s="53"/>
    </x:row>
    <x:row r="17" ht="30" customHeight="1">
      <x:c r="A17" s="45" t="n">
        <x:v>88</x:v>
      </x:c>
      <x:c r="B17" s="46" t="n">
        <x:v>46238.75</x:v>
      </x:c>
      <x:c r="C17" s="47" t="str">
        <x:v>NIO 39081312</x:v>
      </x:c>
      <x:c r="D17" s="47" t="str">
        <x:v>NIO</x:v>
      </x:c>
      <x:c r="E17" s="48" t="str">
        <x:v>Envio a Yadira</x:v>
      </x:c>
      <x:c r="F17" s="49" t="n">
        <x:v>710</x:v>
      </x:c>
      <x:c r="G17" s="49" t="n">
        <x:v>0</x:v>
      </x:c>
      <x:c r="H17" s="50" t="n">
        <x:v>36.45</x:v>
      </x:c>
      <x:c r="I17" s="51" t="n">
        <x:f>IF(D17="USD",F17,F17/H17)</x:f>
        <x:v>19.478737997256513</x:v>
      </x:c>
      <x:c r="J17" s="51" t="n">
        <x:f>IF(D17="USD",G17,G17/H17)</x:f>
        <x:v>0</x:v>
      </x:c>
      <x:c r="K17" s="51" t="n">
        <x:f>J17-I17</x:f>
        <x:v>-19.478737997256513</x:v>
      </x:c>
      <x:c r="L17" s="48" t="str">
        <x:v>Salida</x:v>
      </x:c>
      <x:c r="M17" s="48" t="str">
        <x:v>Consumo personal</x:v>
      </x:c>
      <x:c r="N17" s="48" t="str">
        <x:v>Recuperable/personal</x:v>
      </x:c>
      <x:c r="O17" s="48" t="str">
        <x:v>Harrinton</x:v>
      </x:c>
      <x:c r="P17" s="48" t="str">
        <x:v>Agosto 2026</x:v>
      </x:c>
      <x:c r="Q17" s="52"/>
      <x:c r="R17" s="52" t="str">
        <x:v>Consumo personal</x:v>
      </x:c>
      <x:c r="S17" s="52" t="str">
        <x:v>Recuperable/personal</x:v>
      </x:c>
      <x:c r="T17" s="52" t="str">
        <x:v>Harrinton</x:v>
      </x:c>
      <x:c r="U17" s="52" t="str"/>
      <x:c r="V17" s="52"/>
      <x:c r="W17" s="52" t="str">
        <x:v>Pendiente</x:v>
      </x:c>
      <x:c r="X17" s="53"/>
    </x:row>
    <x:row r="18" ht="30" customHeight="1">
      <x:c r="A18" s="45" t="n">
        <x:v>89</x:v>
      </x:c>
      <x:c r="B18" s="46" t="n">
        <x:v>46238.75</x:v>
      </x:c>
      <x:c r="C18" s="47" t="str">
        <x:v>NIO 39081312</x:v>
      </x:c>
      <x:c r="D18" s="47" t="str">
        <x:v>NIO</x:v>
      </x:c>
      <x:c r="E18" s="48" t="str">
        <x:v>Envio a mi cuenta dolares</x:v>
      </x:c>
      <x:c r="F18" s="49" t="n">
        <x:v>5000</x:v>
      </x:c>
      <x:c r="G18" s="49" t="n">
        <x:v>0</x:v>
      </x:c>
      <x:c r="H18" s="50" t="n">
        <x:v>36.45</x:v>
      </x:c>
      <x:c r="I18" s="51" t="n">
        <x:f>IF(D18="USD",F18,F18/H18)</x:f>
        <x:v>137.1742112482853</x:v>
      </x:c>
      <x:c r="J18" s="51" t="n">
        <x:f>IF(D18="USD",G18,G18/H18)</x:f>
        <x:v>0</x:v>
      </x:c>
      <x:c r="K18" s="51" t="n">
        <x:f>J18-I18</x:f>
        <x:v>-137.1742112482853</x:v>
      </x:c>
      <x:c r="L18" s="48" t="str">
        <x:v>Salida</x:v>
      </x:c>
      <x:c r="M18" s="48" t="str">
        <x:v>Transferencia interna</x:v>
      </x:c>
      <x:c r="N18" s="48" t="str">
        <x:v>No es ingreso ni gasto</x:v>
      </x:c>
      <x:c r="O18" s="48" t="str">
        <x:v>Harrinton</x:v>
      </x:c>
      <x:c r="P18" s="48" t="str">
        <x:v>Agosto 2026</x:v>
      </x:c>
      <x:c r="Q18" s="52"/>
      <x:c r="R18" s="52" t="str">
        <x:v>Transferencia interna</x:v>
      </x:c>
      <x:c r="S18" s="52" t="str">
        <x:v>No es ingreso ni gasto</x:v>
      </x:c>
      <x:c r="T18" s="52" t="str">
        <x:v>Harrinton</x:v>
      </x:c>
      <x:c r="U18" s="52" t="str"/>
      <x:c r="V18" s="52"/>
      <x:c r="W18" s="52" t="str">
        <x:v>Revisado</x:v>
      </x:c>
      <x:c r="X18" s="53"/>
    </x:row>
    <x:row r="19" ht="30" customHeight="1">
      <x:c r="A19" s="45" t="n">
        <x:v>90</x:v>
      </x:c>
      <x:c r="B19" s="46" t="n">
        <x:v>46238.75</x:v>
      </x:c>
      <x:c r="C19" s="47" t="str">
        <x:v>NIO 39081312</x:v>
      </x:c>
      <x:c r="D19" s="47" t="str">
        <x:v>NIO</x:v>
      </x:c>
      <x:c r="E19" s="48" t="str">
        <x:v>Envio a Greyvis</x:v>
      </x:c>
      <x:c r="F19" s="49" t="n">
        <x:v>6000</x:v>
      </x:c>
      <x:c r="G19" s="49" t="n">
        <x:v>0</x:v>
      </x:c>
      <x:c r="H19" s="50" t="n">
        <x:v>36.45</x:v>
      </x:c>
      <x:c r="I19" s="51" t="n">
        <x:f>IF(D19="USD",F19,F19/H19)</x:f>
        <x:v>164.60905349794237</x:v>
      </x:c>
      <x:c r="J19" s="51" t="n">
        <x:f>IF(D19="USD",G19,G19/H19)</x:f>
        <x:v>0</x:v>
      </x:c>
      <x:c r="K19" s="51" t="n">
        <x:f>J19-I19</x:f>
        <x:v>-164.60905349794237</x:v>
      </x:c>
      <x:c r="L19" s="48" t="str">
        <x:v>Salida</x:v>
      </x:c>
      <x:c r="M19" s="48" t="str">
        <x:v>Nomina atrasada</x:v>
      </x:c>
      <x:c r="N19" s="48" t="str">
        <x:v>Gasto periodo anterior</x:v>
      </x:c>
      <x:c r="O19" s="48" t="str">
        <x:v>Greyvis</x:v>
      </x:c>
      <x:c r="P19" s="48" t="str">
        <x:v>Julio 2026</x:v>
      </x:c>
      <x:c r="Q19" s="52"/>
      <x:c r="R19" s="52" t="str">
        <x:v>Nomina atrasada</x:v>
      </x:c>
      <x:c r="S19" s="52" t="str">
        <x:v>Gasto periodo anterior</x:v>
      </x:c>
      <x:c r="T19" s="52" t="str">
        <x:v>Greyvis</x:v>
      </x:c>
      <x:c r="U19" s="52" t="str"/>
      <x:c r="V19" s="52"/>
      <x:c r="W19" s="52" t="str">
        <x:v>Pendiente</x:v>
      </x:c>
      <x:c r="X19" s="53"/>
    </x:row>
    <x:row r="20" ht="30" customHeight="1">
      <x:c r="A20" s="45" t="n">
        <x:v>91</x:v>
      </x:c>
      <x:c r="B20" s="46" t="n">
        <x:v>46238.75</x:v>
      </x:c>
      <x:c r="C20" s="47" t="str">
        <x:v>NIO 39081312</x:v>
      </x:c>
      <x:c r="D20" s="47" t="str">
        <x:v>NIO</x:v>
      </x:c>
      <x:c r="E20" s="48" t="str">
        <x:v>UNO Waslala</x:v>
      </x:c>
      <x:c r="F20" s="49" t="n">
        <x:v>260</x:v>
      </x:c>
      <x:c r="G20" s="49" t="n">
        <x:v>0</x:v>
      </x:c>
      <x:c r="H20" s="50" t="n">
        <x:v>36.45</x:v>
      </x:c>
      <x:c r="I20" s="51" t="n">
        <x:f>IF(D20="USD",F20,F20/H20)</x:f>
        <x:v>7.133058984910837</x:v>
      </x:c>
      <x:c r="J20" s="51" t="n">
        <x:f>IF(D20="USD",G20,G20/H20)</x:f>
        <x:v>0</x:v>
      </x:c>
      <x:c r="K20" s="51" t="n">
        <x:f>J20-I20</x:f>
        <x:v>-7.133058984910837</x:v>
      </x:c>
      <x:c r="L20" s="48" t="str">
        <x:v>Salida</x:v>
      </x:c>
      <x:c r="M20" s="48" t="str">
        <x:v>Combustible</x:v>
      </x:c>
      <x:c r="N20" s="48" t="str">
        <x:v>Gasto empresarial</x:v>
      </x:c>
      <x:c r="O20" s="48" t="str"/>
      <x:c r="P20" s="48" t="str">
        <x:v>Agosto 2026</x:v>
      </x:c>
      <x:c r="Q20" s="52"/>
      <x:c r="R20" s="52" t="str">
        <x:v>Combustible</x:v>
      </x:c>
      <x:c r="S20" s="52" t="str">
        <x:v>Gasto empresarial</x:v>
      </x:c>
      <x:c r="T20" s="52" t="str"/>
      <x:c r="U20" s="52" t="str"/>
      <x:c r="V20" s="52"/>
      <x:c r="W20" s="52" t="str">
        <x:v>Pendiente</x:v>
      </x:c>
      <x:c r="X20" s="53"/>
    </x:row>
    <x:row r="21" ht="30" customHeight="1">
      <x:c r="A21" s="45" t="n">
        <x:v>92</x:v>
      </x:c>
      <x:c r="B21" s="46" t="n">
        <x:v>46238.75</x:v>
      </x:c>
      <x:c r="C21" s="47" t="str">
        <x:v>NIO 39081312</x:v>
      </x:c>
      <x:c r="D21" s="47" t="str">
        <x:v>NIO</x:v>
      </x:c>
      <x:c r="E21" s="48" t="str">
        <x:v>Retiro ATM Bancentro Waslala</x:v>
      </x:c>
      <x:c r="F21" s="49" t="n">
        <x:v>2000</x:v>
      </x:c>
      <x:c r="G21" s="49" t="n">
        <x:v>0</x:v>
      </x:c>
      <x:c r="H21" s="50" t="n">
        <x:v>36.45</x:v>
      </x:c>
      <x:c r="I21" s="51" t="n">
        <x:f>IF(D21="USD",F21,F21/H21)</x:f>
        <x:v>54.869684499314126</x:v>
      </x:c>
      <x:c r="J21" s="51" t="n">
        <x:f>IF(D21="USD",G21,G21/H21)</x:f>
        <x:v>0</x:v>
      </x:c>
      <x:c r="K21" s="51" t="n">
        <x:f>J21-I21</x:f>
        <x:v>-54.869684499314126</x:v>
      </x:c>
      <x:c r="L21" s="48" t="str">
        <x:v>Salida</x:v>
      </x:c>
      <x:c r="M21" s="48" t="str">
        <x:v>Viaticos en efectivo</x:v>
      </x:c>
      <x:c r="N21" s="48" t="str">
        <x:v>Fondo por liquidar</x:v>
      </x:c>
      <x:c r="O21" s="48" t="str">
        <x:v>Equipo Northlink</x:v>
      </x:c>
      <x:c r="P21" s="48" t="str">
        <x:v>Agosto 2026</x:v>
      </x:c>
      <x:c r="Q21" s="52"/>
      <x:c r="R21" s="52" t="str">
        <x:v>Viaticos en efectivo</x:v>
      </x:c>
      <x:c r="S21" s="52" t="str">
        <x:v>Fondo por liquidar</x:v>
      </x:c>
      <x:c r="T21" s="52" t="str">
        <x:v>Equipo Northlink</x:v>
      </x:c>
      <x:c r="U21" s="52" t="str">
        <x:v>Viaje Waslala</x:v>
      </x:c>
      <x:c r="V21" s="52"/>
      <x:c r="W21" s="52" t="str">
        <x:v>Pendiente</x:v>
      </x:c>
      <x:c r="X21" s="53"/>
    </x:row>
    <x:row r="22" ht="30" customHeight="1">
      <x:c r="A22" s="45" t="n">
        <x:v>93</x:v>
      </x:c>
      <x:c r="B22" s="46" t="n">
        <x:v>46238.75</x:v>
      </x:c>
      <x:c r="C22" s="47" t="str">
        <x:v>NIO 39081312</x:v>
      </x:c>
      <x:c r="D22" s="47" t="str">
        <x:v>NIO</x:v>
      </x:c>
      <x:c r="E22" s="48" t="str">
        <x:v>Comision retiro ATM</x:v>
      </x:c>
      <x:c r="F22" s="49" t="n">
        <x:v>1.1</x:v>
      </x:c>
      <x:c r="G22" s="49" t="n">
        <x:v>0</x:v>
      </x:c>
      <x:c r="H22" s="50" t="n">
        <x:v>36.45</x:v>
      </x:c>
      <x:c r="I22" s="51" t="n">
        <x:f>IF(D22="USD",F22,F22/H22)</x:f>
        <x:v>0.03017832647462277</x:v>
      </x:c>
      <x:c r="J22" s="51" t="n">
        <x:f>IF(D22="USD",G22,G22/H22)</x:f>
        <x:v>0</x:v>
      </x:c>
      <x:c r="K22" s="51" t="n">
        <x:f>J22-I22</x:f>
        <x:v>-0.03017832647462277</x:v>
      </x:c>
      <x:c r="L22" s="48" t="str">
        <x:v>Salida</x:v>
      </x:c>
      <x:c r="M22" s="48" t="str">
        <x:v>Comisiones bancarias</x:v>
      </x:c>
      <x:c r="N22" s="48" t="str">
        <x:v>Gasto empresarial</x:v>
      </x:c>
      <x:c r="O22" s="48" t="str">
        <x:v>Banco</x:v>
      </x:c>
      <x:c r="P22" s="48" t="str">
        <x:v>Agosto 2026</x:v>
      </x:c>
      <x:c r="Q22" s="52"/>
      <x:c r="R22" s="52" t="str">
        <x:v>Comisiones bancarias</x:v>
      </x:c>
      <x:c r="S22" s="52" t="str">
        <x:v>Gasto empresarial</x:v>
      </x:c>
      <x:c r="T22" s="52" t="str">
        <x:v>Banco</x:v>
      </x:c>
      <x:c r="U22" s="52" t="str"/>
      <x:c r="V22" s="52"/>
      <x:c r="W22" s="52" t="str">
        <x:v>Pendiente</x:v>
      </x:c>
      <x:c r="X22" s="53"/>
    </x:row>
    <x:row r="23" ht="30" customHeight="1">
      <x:c r="A23" s="45" t="n">
        <x:v>10</x:v>
      </x:c>
      <x:c r="B23" s="46" t="n">
        <x:v>46238.75</x:v>
      </x:c>
      <x:c r="C23" s="47" t="str">
        <x:v>USD 34232261</x:v>
      </x:c>
      <x:c r="D23" s="47" t="str">
        <x:v>USD</x:v>
      </x:c>
      <x:c r="E23" s="48" t="str">
        <x:v>Envio a mi cuenta dolares</x:v>
      </x:c>
      <x:c r="F23" s="49" t="n">
        <x:v>0</x:v>
      </x:c>
      <x:c r="G23" s="49" t="n">
        <x:v>134.48</x:v>
      </x:c>
      <x:c r="H23" s="50" t="n">
        <x:v>1</x:v>
      </x:c>
      <x:c r="I23" s="51" t="n">
        <x:f>IF(D23="USD",F23,F23/H23)</x:f>
        <x:v>0</x:v>
      </x:c>
      <x:c r="J23" s="51" t="n">
        <x:f>IF(D23="USD",G23,G23/H23)</x:f>
        <x:v>134.48</x:v>
      </x:c>
      <x:c r="K23" s="51" t="n">
        <x:f>J23-I23</x:f>
        <x:v>134.48</x:v>
      </x:c>
      <x:c r="L23" s="48" t="str">
        <x:v>Entrada</x:v>
      </x:c>
      <x:c r="M23" s="48" t="str">
        <x:v>Transferencia interna</x:v>
      </x:c>
      <x:c r="N23" s="48" t="str">
        <x:v>No es ingreso ni gasto</x:v>
      </x:c>
      <x:c r="O23" s="48" t="str">
        <x:v>Harrinton</x:v>
      </x:c>
      <x:c r="P23" s="48" t="str">
        <x:v>Agosto 2026</x:v>
      </x:c>
      <x:c r="Q23" s="52"/>
      <x:c r="R23" s="52" t="str">
        <x:v>Transferencia interna</x:v>
      </x:c>
      <x:c r="S23" s="52" t="str">
        <x:v>No es ingreso ni gasto</x:v>
      </x:c>
      <x:c r="T23" s="52" t="str">
        <x:v>Harrinton</x:v>
      </x:c>
      <x:c r="U23" s="52" t="str"/>
      <x:c r="V23" s="52"/>
      <x:c r="W23" s="52" t="str">
        <x:v>Revisado</x:v>
      </x:c>
      <x:c r="X23" s="53"/>
    </x:row>
    <x:row r="24" ht="30" customHeight="1">
      <x:c r="A24" s="45" t="n">
        <x:v>94</x:v>
      </x:c>
      <x:c r="B24" s="46" t="n">
        <x:v>46239.75</x:v>
      </x:c>
      <x:c r="C24" s="47" t="str">
        <x:v>NIO 39081312</x:v>
      </x:c>
      <x:c r="D24" s="47" t="str">
        <x:v>NIO</x:v>
      </x:c>
      <x:c r="E24" s="48" t="str">
        <x:v>Envio a Erick</x:v>
      </x:c>
      <x:c r="F24" s="49" t="n">
        <x:v>200</x:v>
      </x:c>
      <x:c r="G24" s="49" t="n">
        <x:v>0</x:v>
      </x:c>
      <x:c r="H24" s="50" t="n">
        <x:v>36.45</x:v>
      </x:c>
      <x:c r="I24" s="51" t="n">
        <x:f>IF(D24="USD",F24,F24/H24)</x:f>
        <x:v>5.486968449931412</x:v>
      </x:c>
      <x:c r="J24" s="51" t="n">
        <x:f>IF(D24="USD",G24,G24/H24)</x:f>
        <x:v>0</x:v>
      </x:c>
      <x:c r="K24" s="51" t="n">
        <x:f>J24-I24</x:f>
        <x:v>-5.486968449931412</x:v>
      </x:c>
      <x:c r="L24" s="48" t="str">
        <x:v>Salida</x:v>
      </x:c>
      <x:c r="M24" s="48" t="str">
        <x:v>Consumo personal</x:v>
      </x:c>
      <x:c r="N24" s="48" t="str">
        <x:v>Recuperable/personal</x:v>
      </x:c>
      <x:c r="O24" s="48" t="str">
        <x:v>Harrinton</x:v>
      </x:c>
      <x:c r="P24" s="48" t="str">
        <x:v>Agosto 2026</x:v>
      </x:c>
      <x:c r="Q24" s="52"/>
      <x:c r="R24" s="52" t="str">
        <x:v>Consumo personal</x:v>
      </x:c>
      <x:c r="S24" s="52" t="str">
        <x:v>Recuperable/personal</x:v>
      </x:c>
      <x:c r="T24" s="52" t="str">
        <x:v>Harrinton</x:v>
      </x:c>
      <x:c r="U24" s="52" t="str"/>
      <x:c r="V24" s="52"/>
      <x:c r="W24" s="52" t="str">
        <x:v>Pendiente</x:v>
      </x:c>
      <x:c r="X24" s="53"/>
    </x:row>
    <x:row r="25" ht="30" customHeight="1">
      <x:c r="A25" s="45" t="n">
        <x:v>95</x:v>
      </x:c>
      <x:c r="B25" s="46" t="n">
        <x:v>46239.75</x:v>
      </x:c>
      <x:c r="C25" s="47" t="str">
        <x:v>NIO 39081312</x:v>
      </x:c>
      <x:c r="D25" s="47" t="str">
        <x:v>NIO</x:v>
      </x:c>
      <x:c r="E25" s="48" t="str">
        <x:v>Retiro ATM Bancentro Waslala</x:v>
      </x:c>
      <x:c r="F25" s="49" t="n">
        <x:v>2000</x:v>
      </x:c>
      <x:c r="G25" s="49" t="n">
        <x:v>0</x:v>
      </x:c>
      <x:c r="H25" s="50" t="n">
        <x:v>36.45</x:v>
      </x:c>
      <x:c r="I25" s="51" t="n">
        <x:f>IF(D25="USD",F25,F25/H25)</x:f>
        <x:v>54.869684499314126</x:v>
      </x:c>
      <x:c r="J25" s="51" t="n">
        <x:f>IF(D25="USD",G25,G25/H25)</x:f>
        <x:v>0</x:v>
      </x:c>
      <x:c r="K25" s="51" t="n">
        <x:f>J25-I25</x:f>
        <x:v>-54.869684499314126</x:v>
      </x:c>
      <x:c r="L25" s="48" t="str">
        <x:v>Salida</x:v>
      </x:c>
      <x:c r="M25" s="48" t="str">
        <x:v>Retiro sin justificar</x:v>
      </x:c>
      <x:c r="N25" s="48" t="str">
        <x:v>Pendiente</x:v>
      </x:c>
      <x:c r="O25" s="48" t="str"/>
      <x:c r="P25" s="48" t="str">
        <x:v>Agosto 2026</x:v>
      </x:c>
      <x:c r="Q25" s="52"/>
      <x:c r="R25" s="52" t="str">
        <x:v>Retiro sin justificar</x:v>
      </x:c>
      <x:c r="S25" s="52" t="str">
        <x:v>Pendiente</x:v>
      </x:c>
      <x:c r="T25" s="52" t="str"/>
      <x:c r="U25" s="52" t="str"/>
      <x:c r="V25" s="52"/>
      <x:c r="W25" s="52" t="str">
        <x:v>Pendiente</x:v>
      </x:c>
      <x:c r="X25" s="53"/>
    </x:row>
    <x:row r="26" ht="30" customHeight="1">
      <x:c r="A26" s="45" t="n">
        <x:v>96</x:v>
      </x:c>
      <x:c r="B26" s="46" t="n">
        <x:v>46239.75</x:v>
      </x:c>
      <x:c r="C26" s="47" t="str">
        <x:v>NIO 39081312</x:v>
      </x:c>
      <x:c r="D26" s="47" t="str">
        <x:v>NIO</x:v>
      </x:c>
      <x:c r="E26" s="48" t="str">
        <x:v>Comision retiro ATM</x:v>
      </x:c>
      <x:c r="F26" s="49" t="n">
        <x:v>1.1</x:v>
      </x:c>
      <x:c r="G26" s="49" t="n">
        <x:v>0</x:v>
      </x:c>
      <x:c r="H26" s="50" t="n">
        <x:v>36.45</x:v>
      </x:c>
      <x:c r="I26" s="51" t="n">
        <x:f>IF(D26="USD",F26,F26/H26)</x:f>
        <x:v>0.03017832647462277</x:v>
      </x:c>
      <x:c r="J26" s="51" t="n">
        <x:f>IF(D26="USD",G26,G26/H26)</x:f>
        <x:v>0</x:v>
      </x:c>
      <x:c r="K26" s="51" t="n">
        <x:f>J26-I26</x:f>
        <x:v>-0.03017832647462277</x:v>
      </x:c>
      <x:c r="L26" s="48" t="str">
        <x:v>Salida</x:v>
      </x:c>
      <x:c r="M26" s="48" t="str">
        <x:v>Comisiones bancarias</x:v>
      </x:c>
      <x:c r="N26" s="48" t="str">
        <x:v>Gasto empresarial</x:v>
      </x:c>
      <x:c r="O26" s="48" t="str">
        <x:v>Banco</x:v>
      </x:c>
      <x:c r="P26" s="48" t="str">
        <x:v>Agosto 2026</x:v>
      </x:c>
      <x:c r="Q26" s="52"/>
      <x:c r="R26" s="52" t="str">
        <x:v>Comisiones bancarias</x:v>
      </x:c>
      <x:c r="S26" s="52" t="str">
        <x:v>Gasto empresarial</x:v>
      </x:c>
      <x:c r="T26" s="52" t="str">
        <x:v>Banco</x:v>
      </x:c>
      <x:c r="U26" s="52" t="str"/>
      <x:c r="V26" s="52"/>
      <x:c r="W26" s="52" t="str">
        <x:v>Pendiente</x:v>
      </x:c>
      <x:c r="X26" s="53"/>
    </x:row>
    <x:row r="27" ht="30" customHeight="1">
      <x:c r="A27" s="45" t="n">
        <x:v>97</x:v>
      </x:c>
      <x:c r="B27" s="46" t="n">
        <x:v>46239.75</x:v>
      </x:c>
      <x:c r="C27" s="47" t="str">
        <x:v>NIO 39081312</x:v>
      </x:c>
      <x:c r="D27" s="47" t="str">
        <x:v>NIO</x:v>
      </x:c>
      <x:c r="E27" s="48" t="str">
        <x:v>Enviado por Michael</x:v>
      </x:c>
      <x:c r="F27" s="49" t="n">
        <x:v>0</x:v>
      </x:c>
      <x:c r="G27" s="49" t="n">
        <x:v>999</x:v>
      </x:c>
      <x:c r="H27" s="50" t="n">
        <x:v>36.45</x:v>
      </x:c>
      <x:c r="I27" s="51" t="n">
        <x:f>IF(D27="USD",F27,F27/H27)</x:f>
        <x:v>0</x:v>
      </x:c>
      <x:c r="J27" s="51" t="n">
        <x:f>IF(D27="USD",G27,G27/H27)</x:f>
        <x:v>27.407407407407405</x:v>
      </x:c>
      <x:c r="K27" s="51" t="n">
        <x:f>J27-I27</x:f>
        <x:v>27.407407407407405</x:v>
      </x:c>
      <x:c r="L27" s="48" t="str">
        <x:v>Entrada</x:v>
      </x:c>
      <x:c r="M27" s="48" t="str">
        <x:v>Entrada personal</x:v>
      </x:c>
      <x:c r="N27" s="48" t="str">
        <x:v>No es ingreso empresarial</x:v>
      </x:c>
      <x:c r="O27" s="48" t="str">
        <x:v>Michael</x:v>
      </x:c>
      <x:c r="P27" s="48" t="str">
        <x:v>Agosto 2026</x:v>
      </x:c>
      <x:c r="Q27" s="52"/>
      <x:c r="R27" s="52" t="str">
        <x:v>Entrada personal</x:v>
      </x:c>
      <x:c r="S27" s="52" t="str">
        <x:v>No es ingreso empresarial</x:v>
      </x:c>
      <x:c r="T27" s="52" t="str">
        <x:v>Michael</x:v>
      </x:c>
      <x:c r="U27" s="52" t="str"/>
      <x:c r="V27" s="52"/>
      <x:c r="W27" s="52" t="str">
        <x:v>Pendiente</x:v>
      </x:c>
      <x:c r="X27" s="53"/>
    </x:row>
    <x:row r="28" ht="30" customHeight="1">
      <x:c r="A28" s="45" t="n">
        <x:v>11</x:v>
      </x:c>
      <x:c r="B28" s="46" t="n">
        <x:v>46239.75</x:v>
      </x:c>
      <x:c r="C28" s="47" t="str">
        <x:v>USD 34232261</x:v>
      </x:c>
      <x:c r="D28" s="47" t="str">
        <x:v>USD</x:v>
      </x:c>
      <x:c r="E28" s="48" t="str">
        <x:v>Envio a Blanca</x:v>
      </x:c>
      <x:c r="F28" s="49" t="n">
        <x:v>27.43</x:v>
      </x:c>
      <x:c r="G28" s="49" t="n">
        <x:v>0</x:v>
      </x:c>
      <x:c r="H28" s="50" t="n">
        <x:v>1</x:v>
      </x:c>
      <x:c r="I28" s="51" t="n">
        <x:f>IF(D28="USD",F28,F28/H28)</x:f>
        <x:v>27.43</x:v>
      </x:c>
      <x:c r="J28" s="51" t="n">
        <x:f>IF(D28="USD",G28,G28/H28)</x:f>
        <x:v>0</x:v>
      </x:c>
      <x:c r="K28" s="51" t="n">
        <x:f>J28-I28</x:f>
        <x:v>-27.43</x:v>
      </x:c>
      <x:c r="L28" s="48" t="str">
        <x:v>Salida</x:v>
      </x:c>
      <x:c r="M28" s="48" t="str">
        <x:v>Viaticos - alimentacion</x:v>
      </x:c>
      <x:c r="N28" s="48" t="str">
        <x:v>Gasto empresarial</x:v>
      </x:c>
      <x:c r="O28" s="48" t="str">
        <x:v>Blanca</x:v>
      </x:c>
      <x:c r="P28" s="48" t="str">
        <x:v>Agosto 2026</x:v>
      </x:c>
      <x:c r="Q28" s="52"/>
      <x:c r="R28" s="52" t="str">
        <x:v>Viaticos - alimentacion</x:v>
      </x:c>
      <x:c r="S28" s="52" t="str">
        <x:v>Gasto empresarial</x:v>
      </x:c>
      <x:c r="T28" s="52" t="str">
        <x:v>Blanca</x:v>
      </x:c>
      <x:c r="U28" s="52" t="str">
        <x:v>Viaje Waslala</x:v>
      </x:c>
      <x:c r="V28" s="52"/>
      <x:c r="W28" s="52" t="str">
        <x:v>Pendiente</x:v>
      </x:c>
      <x:c r="X28" s="53"/>
    </x:row>
    <x:row r="29" ht="30" customHeight="1">
      <x:c r="A29" s="45" t="n">
        <x:v>98</x:v>
      </x:c>
      <x:c r="B29" s="46" t="n">
        <x:v>46241.75</x:v>
      </x:c>
      <x:c r="C29" s="47" t="str">
        <x:v>NIO 39081312</x:v>
      </x:c>
      <x:c r="D29" s="47" t="str">
        <x:v>NIO</x:v>
      </x:c>
      <x:c r="E29" s="48" t="str">
        <x:v>Restaurante Tip Top Matagalpa</x:v>
      </x:c>
      <x:c r="F29" s="49" t="n">
        <x:v>600</x:v>
      </x:c>
      <x:c r="G29" s="49" t="n">
        <x:v>0</x:v>
      </x:c>
      <x:c r="H29" s="50" t="n">
        <x:v>36.45</x:v>
      </x:c>
      <x:c r="I29" s="51" t="n">
        <x:f>IF(D29="USD",F29,F29/H29)</x:f>
        <x:v>16.46090534979424</x:v>
      </x:c>
      <x:c r="J29" s="51" t="n">
        <x:f>IF(D29="USD",G29,G29/H29)</x:f>
        <x:v>0</x:v>
      </x:c>
      <x:c r="K29" s="51" t="n">
        <x:f>J29-I29</x:f>
        <x:v>-16.46090534979424</x:v>
      </x:c>
      <x:c r="L29" s="48" t="str">
        <x:v>Salida</x:v>
      </x:c>
      <x:c r="M29" s="48" t="str">
        <x:v>Viaticos</x:v>
      </x:c>
      <x:c r="N29" s="48" t="str">
        <x:v>Gasto empresarial</x:v>
      </x:c>
      <x:c r="O29" s="48" t="str">
        <x:v>Equipo Northlink</x:v>
      </x:c>
      <x:c r="P29" s="48" t="str">
        <x:v>Agosto 2026</x:v>
      </x:c>
      <x:c r="Q29" s="52"/>
      <x:c r="R29" s="52" t="str">
        <x:v>Viaticos</x:v>
      </x:c>
      <x:c r="S29" s="52" t="str">
        <x:v>Gasto empresarial</x:v>
      </x:c>
      <x:c r="T29" s="52" t="str">
        <x:v>Equipo Northlink</x:v>
      </x:c>
      <x:c r="U29" s="52" t="str">
        <x:v>Viaje Waslala</x:v>
      </x:c>
      <x:c r="V29" s="52"/>
      <x:c r="W29" s="52" t="str">
        <x:v>Pendiente</x:v>
      </x:c>
      <x:c r="X29" s="53"/>
    </x:row>
    <x:row r="30" ht="30" customHeight="1">
      <x:c r="A30" s="45" t="n">
        <x:v>12</x:v>
      </x:c>
      <x:c r="B30" s="46" t="n">
        <x:v>46241.75</x:v>
      </x:c>
      <x:c r="C30" s="47" t="str">
        <x:v>USD 34232261</x:v>
      </x:c>
      <x:c r="D30" s="47" t="str">
        <x:v>USD</x:v>
      </x:c>
      <x:c r="E30" s="48" t="str">
        <x:v>Cursor AI</x:v>
      </x:c>
      <x:c r="F30" s="49" t="n">
        <x:v>20</x:v>
      </x:c>
      <x:c r="G30" s="49" t="n">
        <x:v>0</x:v>
      </x:c>
      <x:c r="H30" s="50" t="n">
        <x:v>1</x:v>
      </x:c>
      <x:c r="I30" s="51" t="n">
        <x:f>IF(D30="USD",F30,F30/H30)</x:f>
        <x:v>20</x:v>
      </x:c>
      <x:c r="J30" s="51" t="n">
        <x:f>IF(D30="USD",G30,G30/H30)</x:f>
        <x:v>0</x:v>
      </x:c>
      <x:c r="K30" s="51" t="n">
        <x:f>J30-I30</x:f>
        <x:v>-20</x:v>
      </x:c>
      <x:c r="L30" s="48" t="str">
        <x:v>Salida</x:v>
      </x:c>
      <x:c r="M30" s="48" t="str">
        <x:v>Software y suscripciones</x:v>
      </x:c>
      <x:c r="N30" s="48" t="str">
        <x:v>Pendiente</x:v>
      </x:c>
      <x:c r="O30" s="48" t="str">
        <x:v>Northlink</x:v>
      </x:c>
      <x:c r="P30" s="48" t="str">
        <x:v>Agosto 2026</x:v>
      </x:c>
      <x:c r="Q30" s="52"/>
      <x:c r="R30" s="52" t="str">
        <x:v>Software y suscripciones</x:v>
      </x:c>
      <x:c r="S30" s="52" t="str">
        <x:v>Pendiente</x:v>
      </x:c>
      <x:c r="T30" s="52" t="str">
        <x:v>Northlink</x:v>
      </x:c>
      <x:c r="U30" s="52" t="str"/>
      <x:c r="V30" s="52"/>
      <x:c r="W30" s="52" t="str">
        <x:v>Pendiente</x:v>
      </x:c>
      <x:c r="X30" s="53"/>
    </x:row>
    <x:row r="31" ht="30" customHeight="1">
      <x:c r="A31" s="45" t="n">
        <x:v>13</x:v>
      </x:c>
      <x:c r="B31" s="46" t="n">
        <x:v>46241.75</x:v>
      </x:c>
      <x:c r="C31" s="47" t="str">
        <x:v>USD 34232261</x:v>
      </x:c>
      <x:c r="D31" s="47" t="str">
        <x:v>USD</x:v>
      </x:c>
      <x:c r="E31" s="48" t="str">
        <x:v>Claro Mi Claro Express</x:v>
      </x:c>
      <x:c r="F31" s="49" t="n">
        <x:v>3.29</x:v>
      </x:c>
      <x:c r="G31" s="49" t="n">
        <x:v>0</x:v>
      </x:c>
      <x:c r="H31" s="50" t="n">
        <x:v>1</x:v>
      </x:c>
      <x:c r="I31" s="51" t="n">
        <x:f>IF(D31="USD",F31,F31/H31)</x:f>
        <x:v>3.29</x:v>
      </x:c>
      <x:c r="J31" s="51" t="n">
        <x:f>IF(D31="USD",G31,G31/H31)</x:f>
        <x:v>0</x:v>
      </x:c>
      <x:c r="K31" s="51" t="n">
        <x:f>J31-I31</x:f>
        <x:v>-3.29</x:v>
      </x:c>
      <x:c r="L31" s="48" t="str">
        <x:v>Salida</x:v>
      </x:c>
      <x:c r="M31" s="48" t="str">
        <x:v>Telecomunicaciones</x:v>
      </x:c>
      <x:c r="N31" s="48" t="str">
        <x:v>Pendiente</x:v>
      </x:c>
      <x:c r="O31" s="48" t="str">
        <x:v>Harrinton</x:v>
      </x:c>
      <x:c r="P31" s="48" t="str">
        <x:v>Agosto 2026</x:v>
      </x:c>
      <x:c r="Q31" s="52"/>
      <x:c r="R31" s="52" t="str">
        <x:v>Telecomunicaciones</x:v>
      </x:c>
      <x:c r="S31" s="52" t="str">
        <x:v>Pendiente</x:v>
      </x:c>
      <x:c r="T31" s="52" t="str">
        <x:v>Harrinton</x:v>
      </x:c>
      <x:c r="U31" s="52" t="str"/>
      <x:c r="V31" s="52"/>
      <x:c r="W31" s="52" t="str">
        <x:v>Pendiente</x:v>
      </x:c>
      <x:c r="X31" s="53"/>
    </x:row>
    <x:row r="32" ht="30" customHeight="1">
      <x:c r="A32" s="45" t="n">
        <x:v>14</x:v>
      </x:c>
      <x:c r="B32" s="46" t="n">
        <x:v>46241.75</x:v>
      </x:c>
      <x:c r="C32" s="47" t="str">
        <x:v>USD 34232261</x:v>
      </x:c>
      <x:c r="D32" s="47" t="str">
        <x:v>USD</x:v>
      </x:c>
      <x:c r="E32" s="48" t="str">
        <x:v>Facebook</x:v>
      </x:c>
      <x:c r="F32" s="49" t="n">
        <x:v>5.16</x:v>
      </x:c>
      <x:c r="G32" s="49" t="n">
        <x:v>0</x:v>
      </x:c>
      <x:c r="H32" s="50" t="n">
        <x:v>1</x:v>
      </x:c>
      <x:c r="I32" s="51" t="n">
        <x:f>IF(D32="USD",F32,F32/H32)</x:f>
        <x:v>5.16</x:v>
      </x:c>
      <x:c r="J32" s="51" t="n">
        <x:f>IF(D32="USD",G32,G32/H32)</x:f>
        <x:v>0</x:v>
      </x:c>
      <x:c r="K32" s="51" t="n">
        <x:f>J32-I32</x:f>
        <x:v>-5.16</x:v>
      </x:c>
      <x:c r="L32" s="48" t="str">
        <x:v>Salida</x:v>
      </x:c>
      <x:c r="M32" s="48" t="str">
        <x:v>Publicidad</x:v>
      </x:c>
      <x:c r="N32" s="48" t="str">
        <x:v>Pendiente</x:v>
      </x:c>
      <x:c r="O32" s="48" t="str">
        <x:v>Northlink</x:v>
      </x:c>
      <x:c r="P32" s="48" t="str">
        <x:v>Agosto 2026</x:v>
      </x:c>
      <x:c r="Q32" s="52"/>
      <x:c r="R32" s="52" t="str">
        <x:v>Publicidad</x:v>
      </x:c>
      <x:c r="S32" s="52" t="str">
        <x:v>Pendiente</x:v>
      </x:c>
      <x:c r="T32" s="52" t="str">
        <x:v>Northlink</x:v>
      </x:c>
      <x:c r="U32" s="52" t="str"/>
      <x:c r="V32" s="52"/>
      <x:c r="W32" s="52" t="str">
        <x:v>Pendiente</x:v>
      </x:c>
      <x:c r="X32" s="53"/>
    </x:row>
    <x:row r="33" ht="30" customHeight="1">
      <x:c r="A33" s="45" t="n">
        <x:v>15</x:v>
      </x:c>
      <x:c r="B33" s="46" t="n">
        <x:v>46241.75</x:v>
      </x:c>
      <x:c r="C33" s="47" t="str">
        <x:v>USD 34232261</x:v>
      </x:c>
      <x:c r="D33" s="47" t="str">
        <x:v>USD</x:v>
      </x:c>
      <x:c r="E33" s="48" t="str">
        <x:v>Puma La Dalia</x:v>
      </x:c>
      <x:c r="F33" s="49" t="n">
        <x:v>9.05</x:v>
      </x:c>
      <x:c r="G33" s="49" t="n">
        <x:v>0</x:v>
      </x:c>
      <x:c r="H33" s="50" t="n">
        <x:v>1</x:v>
      </x:c>
      <x:c r="I33" s="51" t="n">
        <x:f>IF(D33="USD",F33,F33/H33)</x:f>
        <x:v>9.05</x:v>
      </x:c>
      <x:c r="J33" s="51" t="n">
        <x:f>IF(D33="USD",G33,G33/H33)</x:f>
        <x:v>0</x:v>
      </x:c>
      <x:c r="K33" s="51" t="n">
        <x:f>J33-I33</x:f>
        <x:v>-9.05</x:v>
      </x:c>
      <x:c r="L33" s="48" t="str">
        <x:v>Salida</x:v>
      </x:c>
      <x:c r="M33" s="48" t="str">
        <x:v>Combustible</x:v>
      </x:c>
      <x:c r="N33" s="48" t="str">
        <x:v>Gasto empresarial</x:v>
      </x:c>
      <x:c r="O33" s="48" t="str"/>
      <x:c r="P33" s="48" t="str">
        <x:v>Agosto 2026</x:v>
      </x:c>
      <x:c r="Q33" s="52"/>
      <x:c r="R33" s="52" t="str">
        <x:v>Combustible</x:v>
      </x:c>
      <x:c r="S33" s="52" t="str">
        <x:v>Gasto empresarial</x:v>
      </x:c>
      <x:c r="T33" s="52" t="str"/>
      <x:c r="U33" s="52" t="str"/>
      <x:c r="V33" s="52"/>
      <x:c r="W33" s="52" t="str">
        <x:v>Pendiente</x:v>
      </x:c>
      <x:c r="X33" s="53"/>
    </x:row>
    <x:row r="34" ht="30" customHeight="1">
      <x:c r="A34" s="45" t="n">
        <x:v>16</x:v>
      </x:c>
      <x:c r="B34" s="46" t="n">
        <x:v>46241.75</x:v>
      </x:c>
      <x:c r="C34" s="47" t="str">
        <x:v>USD 34232261</x:v>
      </x:c>
      <x:c r="D34" s="47" t="str">
        <x:v>USD</x:v>
      </x:c>
      <x:c r="E34" s="48" t="str">
        <x:v>Jamylas Caffe La Dalia</x:v>
      </x:c>
      <x:c r="F34" s="49" t="n">
        <x:v>3.7</x:v>
      </x:c>
      <x:c r="G34" s="49" t="n">
        <x:v>0</x:v>
      </x:c>
      <x:c r="H34" s="50" t="n">
        <x:v>1</x:v>
      </x:c>
      <x:c r="I34" s="51" t="n">
        <x:f>IF(D34="USD",F34,F34/H34)</x:f>
        <x:v>3.7</x:v>
      </x:c>
      <x:c r="J34" s="51" t="n">
        <x:f>IF(D34="USD",G34,G34/H34)</x:f>
        <x:v>0</x:v>
      </x:c>
      <x:c r="K34" s="51" t="n">
        <x:f>J34-I34</x:f>
        <x:v>-3.7</x:v>
      </x:c>
      <x:c r="L34" s="48" t="str">
        <x:v>Salida</x:v>
      </x:c>
      <x:c r="M34" s="48" t="str">
        <x:v>Viaticos</x:v>
      </x:c>
      <x:c r="N34" s="48" t="str">
        <x:v>Gasto empresarial</x:v>
      </x:c>
      <x:c r="O34" s="48" t="str">
        <x:v>Equipo Northlink</x:v>
      </x:c>
      <x:c r="P34" s="48" t="str">
        <x:v>Agosto 2026</x:v>
      </x:c>
      <x:c r="Q34" s="52"/>
      <x:c r="R34" s="52" t="str">
        <x:v>Viaticos</x:v>
      </x:c>
      <x:c r="S34" s="52" t="str">
        <x:v>Gasto empresarial</x:v>
      </x:c>
      <x:c r="T34" s="52" t="str">
        <x:v>Equipo Northlink</x:v>
      </x:c>
      <x:c r="U34" s="52" t="str">
        <x:v>Viaje laboral</x:v>
      </x:c>
      <x:c r="V34" s="52"/>
      <x:c r="W34" s="52" t="str">
        <x:v>Pendiente</x:v>
      </x:c>
      <x:c r="X34" s="53"/>
    </x:row>
    <x:row r="35" ht="30" customHeight="1">
      <x:c r="A35" s="45" t="n">
        <x:v>17</x:v>
      </x:c>
      <x:c r="B35" s="46" t="n">
        <x:v>46241.75</x:v>
      </x:c>
      <x:c r="C35" s="47" t="str">
        <x:v>USD 34232261</x:v>
      </x:c>
      <x:c r="D35" s="47" t="str">
        <x:v>USD</x:v>
      </x:c>
      <x:c r="E35" s="48" t="str">
        <x:v>Jamylas Caffe La Dalia</x:v>
      </x:c>
      <x:c r="F35" s="49" t="n">
        <x:v>2.19</x:v>
      </x:c>
      <x:c r="G35" s="49" t="n">
        <x:v>0</x:v>
      </x:c>
      <x:c r="H35" s="50" t="n">
        <x:v>1</x:v>
      </x:c>
      <x:c r="I35" s="51" t="n">
        <x:f>IF(D35="USD",F35,F35/H35)</x:f>
        <x:v>2.19</x:v>
      </x:c>
      <x:c r="J35" s="51" t="n">
        <x:f>IF(D35="USD",G35,G35/H35)</x:f>
        <x:v>0</x:v>
      </x:c>
      <x:c r="K35" s="51" t="n">
        <x:f>J35-I35</x:f>
        <x:v>-2.19</x:v>
      </x:c>
      <x:c r="L35" s="48" t="str">
        <x:v>Salida</x:v>
      </x:c>
      <x:c r="M35" s="48" t="str">
        <x:v>Viaticos</x:v>
      </x:c>
      <x:c r="N35" s="48" t="str">
        <x:v>Gasto empresarial</x:v>
      </x:c>
      <x:c r="O35" s="48" t="str">
        <x:v>Equipo Northlink</x:v>
      </x:c>
      <x:c r="P35" s="48" t="str">
        <x:v>Agosto 2026</x:v>
      </x:c>
      <x:c r="Q35" s="52"/>
      <x:c r="R35" s="52" t="str">
        <x:v>Viaticos</x:v>
      </x:c>
      <x:c r="S35" s="52" t="str">
        <x:v>Gasto empresarial</x:v>
      </x:c>
      <x:c r="T35" s="52" t="str">
        <x:v>Equipo Northlink</x:v>
      </x:c>
      <x:c r="U35" s="52" t="str">
        <x:v>Viaje laboral</x:v>
      </x:c>
      <x:c r="V35" s="52"/>
      <x:c r="W35" s="52" t="str">
        <x:v>Pendiente</x:v>
      </x:c>
      <x:c r="X35" s="53"/>
    </x:row>
    <x:row r="36" ht="30" customHeight="1">
      <x:c r="A36" s="45" t="n">
        <x:v>18</x:v>
      </x:c>
      <x:c r="B36" s="46" t="n">
        <x:v>46241.75</x:v>
      </x:c>
      <x:c r="C36" s="47" t="str">
        <x:v>USD 34232261</x:v>
      </x:c>
      <x:c r="D36" s="47" t="str">
        <x:v>USD</x:v>
      </x:c>
      <x:c r="E36" s="48" t="str">
        <x:v>Envio a Jairo</x:v>
      </x:c>
      <x:c r="F36" s="49" t="n">
        <x:v>40</x:v>
      </x:c>
      <x:c r="G36" s="49" t="n">
        <x:v>0</x:v>
      </x:c>
      <x:c r="H36" s="50" t="n">
        <x:v>1</x:v>
      </x:c>
      <x:c r="I36" s="51" t="n">
        <x:f>IF(D36="USD",F36,F36/H36)</x:f>
        <x:v>40</x:v>
      </x:c>
      <x:c r="J36" s="51" t="n">
        <x:f>IF(D36="USD",G36,G36/H36)</x:f>
        <x:v>0</x:v>
      </x:c>
      <x:c r="K36" s="51" t="n">
        <x:f>J36-I36</x:f>
        <x:v>-40</x:v>
      </x:c>
      <x:c r="L36" s="48" t="str">
        <x:v>Salida</x:v>
      </x:c>
      <x:c r="M36" s="48" t="str">
        <x:v>Nomina</x:v>
      </x:c>
      <x:c r="N36" s="48" t="str">
        <x:v>Gasto empresarial</x:v>
      </x:c>
      <x:c r="O36" s="48" t="str">
        <x:v>Axel</x:v>
      </x:c>
      <x:c r="P36" s="48" t="str">
        <x:v>Agosto 2026</x:v>
      </x:c>
      <x:c r="Q36" s="52"/>
      <x:c r="R36" s="52" t="str">
        <x:v>Nomina</x:v>
      </x:c>
      <x:c r="S36" s="52" t="str">
        <x:v>Gasto empresarial</x:v>
      </x:c>
      <x:c r="T36" s="52" t="str">
        <x:v>Axel</x:v>
      </x:c>
      <x:c r="U36" s="52" t="str">
        <x:v>Incluido en pago de Axel</x:v>
      </x:c>
      <x:c r="V36" s="52"/>
      <x:c r="W36" s="52" t="str">
        <x:v>Pendiente</x:v>
      </x:c>
      <x:c r="X36" s="53"/>
    </x:row>
    <x:row r="37" ht="30" customHeight="1">
      <x:c r="A37" s="45" t="n">
        <x:v>19</x:v>
      </x:c>
      <x:c r="B37" s="46" t="n">
        <x:v>46241.75</x:v>
      </x:c>
      <x:c r="C37" s="47" t="str">
        <x:v>USD 34232261</x:v>
      </x:c>
      <x:c r="D37" s="47" t="str">
        <x:v>USD</x:v>
      </x:c>
      <x:c r="E37" s="48" t="str">
        <x:v>PedidosYa Little Caesar</x:v>
      </x:c>
      <x:c r="F37" s="49" t="n">
        <x:v>13.14</x:v>
      </x:c>
      <x:c r="G37" s="49" t="n">
        <x:v>0</x:v>
      </x:c>
      <x:c r="H37" s="50" t="n">
        <x:v>1</x:v>
      </x:c>
      <x:c r="I37" s="51" t="n">
        <x:f>IF(D37="USD",F37,F37/H37)</x:f>
        <x:v>13.14</x:v>
      </x:c>
      <x:c r="J37" s="51" t="n">
        <x:f>IF(D37="USD",G37,G37/H37)</x:f>
        <x:v>0</x:v>
      </x:c>
      <x:c r="K37" s="51" t="n">
        <x:f>J37-I37</x:f>
        <x:v>-13.14</x:v>
      </x:c>
      <x:c r="L37" s="48" t="str">
        <x:v>Salida</x:v>
      </x:c>
      <x:c r="M37" s="48" t="str">
        <x:v>Consumo personal</x:v>
      </x:c>
      <x:c r="N37" s="48" t="str">
        <x:v>Recuperable/personal</x:v>
      </x:c>
      <x:c r="O37" s="48" t="str">
        <x:v>Harrinton</x:v>
      </x:c>
      <x:c r="P37" s="48" t="str">
        <x:v>Agosto 2026</x:v>
      </x:c>
      <x:c r="Q37" s="52"/>
      <x:c r="R37" s="52" t="str">
        <x:v>Consumo personal</x:v>
      </x:c>
      <x:c r="S37" s="52" t="str">
        <x:v>Recuperable/personal</x:v>
      </x:c>
      <x:c r="T37" s="52" t="str">
        <x:v>Harrinton</x:v>
      </x:c>
      <x:c r="U37" s="52" t="str"/>
      <x:c r="V37" s="52"/>
      <x:c r="W37" s="52" t="str">
        <x:v>Pendiente</x:v>
      </x:c>
      <x:c r="X37" s="53"/>
    </x:row>
    <x:row r="38" ht="30" customHeight="1">
      <x:c r="A38" s="45" t="n">
        <x:v>99</x:v>
      </x:c>
      <x:c r="B38" s="46" t="n">
        <x:v>46242.75</x:v>
      </x:c>
      <x:c r="C38" s="47" t="str">
        <x:v>NIO 39081312</x:v>
      </x:c>
      <x:c r="D38" s="47" t="str">
        <x:v>NIO</x:v>
      </x:c>
      <x:c r="E38" s="48" t="str">
        <x:v>Retiro ATM Unopetrol Esteli</x:v>
      </x:c>
      <x:c r="F38" s="49" t="n">
        <x:v>500</x:v>
      </x:c>
      <x:c r="G38" s="49" t="n">
        <x:v>0</x:v>
      </x:c>
      <x:c r="H38" s="50" t="n">
        <x:v>36.45</x:v>
      </x:c>
      <x:c r="I38" s="51" t="n">
        <x:f>IF(D38="USD",F38,F38/H38)</x:f>
        <x:v>13.717421124828531</x:v>
      </x:c>
      <x:c r="J38" s="51" t="n">
        <x:f>IF(D38="USD",G38,G38/H38)</x:f>
        <x:v>0</x:v>
      </x:c>
      <x:c r="K38" s="51" t="n">
        <x:f>J38-I38</x:f>
        <x:v>-13.717421124828531</x:v>
      </x:c>
      <x:c r="L38" s="48" t="str">
        <x:v>Salida</x:v>
      </x:c>
      <x:c r="M38" s="48" t="str">
        <x:v>Retiro sin justificar</x:v>
      </x:c>
      <x:c r="N38" s="48" t="str">
        <x:v>Pendiente</x:v>
      </x:c>
      <x:c r="O38" s="48" t="str"/>
      <x:c r="P38" s="48" t="str">
        <x:v>Agosto 2026</x:v>
      </x:c>
      <x:c r="Q38" s="52"/>
      <x:c r="R38" s="52" t="str">
        <x:v>Retiro sin justificar</x:v>
      </x:c>
      <x:c r="S38" s="52" t="str">
        <x:v>Pendiente</x:v>
      </x:c>
      <x:c r="T38" s="52" t="str"/>
      <x:c r="U38" s="52" t="str"/>
      <x:c r="V38" s="52"/>
      <x:c r="W38" s="52" t="str">
        <x:v>Pendiente</x:v>
      </x:c>
      <x:c r="X38" s="53"/>
    </x:row>
    <x:row r="39" ht="30" customHeight="1">
      <x:c r="A39" s="45" t="n">
        <x:v>100</x:v>
      </x:c>
      <x:c r="B39" s="46" t="n">
        <x:v>46242.75</x:v>
      </x:c>
      <x:c r="C39" s="47" t="str">
        <x:v>NIO 39081312</x:v>
      </x:c>
      <x:c r="D39" s="47" t="str">
        <x:v>NIO</x:v>
      </x:c>
      <x:c r="E39" s="48" t="str">
        <x:v>Comision retiro ATM</x:v>
      </x:c>
      <x:c r="F39" s="49" t="n">
        <x:v>1.1</x:v>
      </x:c>
      <x:c r="G39" s="49" t="n">
        <x:v>0</x:v>
      </x:c>
      <x:c r="H39" s="50" t="n">
        <x:v>36.45</x:v>
      </x:c>
      <x:c r="I39" s="51" t="n">
        <x:f>IF(D39="USD",F39,F39/H39)</x:f>
        <x:v>0.03017832647462277</x:v>
      </x:c>
      <x:c r="J39" s="51" t="n">
        <x:f>IF(D39="USD",G39,G39/H39)</x:f>
        <x:v>0</x:v>
      </x:c>
      <x:c r="K39" s="51" t="n">
        <x:f>J39-I39</x:f>
        <x:v>-0.03017832647462277</x:v>
      </x:c>
      <x:c r="L39" s="48" t="str">
        <x:v>Salida</x:v>
      </x:c>
      <x:c r="M39" s="48" t="str">
        <x:v>Comisiones bancarias</x:v>
      </x:c>
      <x:c r="N39" s="48" t="str">
        <x:v>Gasto empresarial</x:v>
      </x:c>
      <x:c r="O39" s="48" t="str">
        <x:v>Banco</x:v>
      </x:c>
      <x:c r="P39" s="48" t="str">
        <x:v>Agosto 2026</x:v>
      </x:c>
      <x:c r="Q39" s="52"/>
      <x:c r="R39" s="52" t="str">
        <x:v>Comisiones bancarias</x:v>
      </x:c>
      <x:c r="S39" s="52" t="str">
        <x:v>Gasto empresarial</x:v>
      </x:c>
      <x:c r="T39" s="52" t="str">
        <x:v>Banco</x:v>
      </x:c>
      <x:c r="U39" s="52" t="str"/>
      <x:c r="V39" s="52"/>
      <x:c r="W39" s="52" t="str">
        <x:v>Pendiente</x:v>
      </x:c>
      <x:c r="X39" s="53"/>
    </x:row>
    <x:row r="40" ht="30" customHeight="1">
      <x:c r="A40" s="45" t="n">
        <x:v>20</x:v>
      </x:c>
      <x:c r="B40" s="46" t="n">
        <x:v>46242.75</x:v>
      </x:c>
      <x:c r="C40" s="47" t="str">
        <x:v>USD 34232261</x:v>
      </x:c>
      <x:c r="D40" s="47" t="str">
        <x:v>USD</x:v>
      </x:c>
      <x:c r="E40" s="48" t="str">
        <x:v>PedidosYa propina</x:v>
      </x:c>
      <x:c r="F40" s="49" t="n">
        <x:v>0.79</x:v>
      </x:c>
      <x:c r="G40" s="49" t="n">
        <x:v>0</x:v>
      </x:c>
      <x:c r="H40" s="50" t="n">
        <x:v>1</x:v>
      </x:c>
      <x:c r="I40" s="51" t="n">
        <x:f>IF(D40="USD",F40,F40/H40)</x:f>
        <x:v>0.79</x:v>
      </x:c>
      <x:c r="J40" s="51" t="n">
        <x:f>IF(D40="USD",G40,G40/H40)</x:f>
        <x:v>0</x:v>
      </x:c>
      <x:c r="K40" s="51" t="n">
        <x:f>J40-I40</x:f>
        <x:v>-0.79</x:v>
      </x:c>
      <x:c r="L40" s="48" t="str">
        <x:v>Salida</x:v>
      </x:c>
      <x:c r="M40" s="48" t="str">
        <x:v>Consumo personal</x:v>
      </x:c>
      <x:c r="N40" s="48" t="str">
        <x:v>Recuperable/personal</x:v>
      </x:c>
      <x:c r="O40" s="48" t="str">
        <x:v>Harrinton</x:v>
      </x:c>
      <x:c r="P40" s="48" t="str">
        <x:v>Agosto 2026</x:v>
      </x:c>
      <x:c r="Q40" s="52"/>
      <x:c r="R40" s="52" t="str">
        <x:v>Consumo personal</x:v>
      </x:c>
      <x:c r="S40" s="52" t="str">
        <x:v>Recuperable/personal</x:v>
      </x:c>
      <x:c r="T40" s="52" t="str">
        <x:v>Harrinton</x:v>
      </x:c>
      <x:c r="U40" s="52" t="str"/>
      <x:c r="V40" s="52"/>
      <x:c r="W40" s="52" t="str">
        <x:v>Pendiente</x:v>
      </x:c>
      <x:c r="X40" s="53"/>
    </x:row>
    <x:row r="41" ht="30" customHeight="1">
      <x:c r="A41" s="45" t="n">
        <x:v>21</x:v>
      </x:c>
      <x:c r="B41" s="46" t="n">
        <x:v>46242.75</x:v>
      </x:c>
      <x:c r="C41" s="47" t="str">
        <x:v>USD 34232261</x:v>
      </x:c>
      <x:c r="D41" s="47" t="str">
        <x:v>USD</x:v>
      </x:c>
      <x:c r="E41" s="48" t="str">
        <x:v>Retiro ATM Unopetrol Esteli</x:v>
      </x:c>
      <x:c r="F41" s="49" t="n">
        <x:v>13.71</x:v>
      </x:c>
      <x:c r="G41" s="49" t="n">
        <x:v>0</x:v>
      </x:c>
      <x:c r="H41" s="50" t="n">
        <x:v>1</x:v>
      </x:c>
      <x:c r="I41" s="51" t="n">
        <x:f>IF(D41="USD",F41,F41/H41)</x:f>
        <x:v>13.71</x:v>
      </x:c>
      <x:c r="J41" s="51" t="n">
        <x:f>IF(D41="USD",G41,G41/H41)</x:f>
        <x:v>0</x:v>
      </x:c>
      <x:c r="K41" s="51" t="n">
        <x:f>J41-I41</x:f>
        <x:v>-13.71</x:v>
      </x:c>
      <x:c r="L41" s="48" t="str">
        <x:v>Salida</x:v>
      </x:c>
      <x:c r="M41" s="48" t="str">
        <x:v>Retiro sin justificar</x:v>
      </x:c>
      <x:c r="N41" s="48" t="str">
        <x:v>Pendiente</x:v>
      </x:c>
      <x:c r="O41" s="48" t="str"/>
      <x:c r="P41" s="48" t="str">
        <x:v>Agosto 2026</x:v>
      </x:c>
      <x:c r="Q41" s="52"/>
      <x:c r="R41" s="52" t="str">
        <x:v>Retiro sin justificar</x:v>
      </x:c>
      <x:c r="S41" s="52" t="str">
        <x:v>Pendiente</x:v>
      </x:c>
      <x:c r="T41" s="52" t="str"/>
      <x:c r="U41" s="52" t="str"/>
      <x:c r="V41" s="52"/>
      <x:c r="W41" s="52" t="str">
        <x:v>Pendiente</x:v>
      </x:c>
      <x:c r="X41" s="53"/>
    </x:row>
    <x:row r="42" ht="30" customHeight="1">
      <x:c r="A42" s="45" t="n">
        <x:v>22</x:v>
      </x:c>
      <x:c r="B42" s="46" t="n">
        <x:v>46242.75</x:v>
      </x:c>
      <x:c r="C42" s="47" t="str">
        <x:v>USD 34232261</x:v>
      </x:c>
      <x:c r="D42" s="47" t="str">
        <x:v>USD</x:v>
      </x:c>
      <x:c r="E42" s="48" t="str">
        <x:v>Comision retiro ATM</x:v>
      </x:c>
      <x:c r="F42" s="49" t="n">
        <x:v>0.03</x:v>
      </x:c>
      <x:c r="G42" s="49" t="n">
        <x:v>0</x:v>
      </x:c>
      <x:c r="H42" s="50" t="n">
        <x:v>1</x:v>
      </x:c>
      <x:c r="I42" s="51" t="n">
        <x:f>IF(D42="USD",F42,F42/H42)</x:f>
        <x:v>0.03</x:v>
      </x:c>
      <x:c r="J42" s="51" t="n">
        <x:f>IF(D42="USD",G42,G42/H42)</x:f>
        <x:v>0</x:v>
      </x:c>
      <x:c r="K42" s="51" t="n">
        <x:f>J42-I42</x:f>
        <x:v>-0.03</x:v>
      </x:c>
      <x:c r="L42" s="48" t="str">
        <x:v>Salida</x:v>
      </x:c>
      <x:c r="M42" s="48" t="str">
        <x:v>Comisiones bancarias</x:v>
      </x:c>
      <x:c r="N42" s="48" t="str">
        <x:v>Gasto empresarial</x:v>
      </x:c>
      <x:c r="O42" s="48" t="str">
        <x:v>Banco</x:v>
      </x:c>
      <x:c r="P42" s="48" t="str">
        <x:v>Agosto 2026</x:v>
      </x:c>
      <x:c r="Q42" s="52"/>
      <x:c r="R42" s="52" t="str">
        <x:v>Comisiones bancarias</x:v>
      </x:c>
      <x:c r="S42" s="52" t="str">
        <x:v>Gasto empresarial</x:v>
      </x:c>
      <x:c r="T42" s="52" t="str">
        <x:v>Banco</x:v>
      </x:c>
      <x:c r="U42" s="52" t="str"/>
      <x:c r="V42" s="52"/>
      <x:c r="W42" s="52" t="str">
        <x:v>Pendiente</x:v>
      </x:c>
      <x:c r="X42" s="53"/>
    </x:row>
    <x:row r="43" ht="30" customHeight="1">
      <x:c r="A43" s="45" t="n">
        <x:v>23</x:v>
      </x:c>
      <x:c r="B43" s="46" t="n">
        <x:v>46243.75</x:v>
      </x:c>
      <x:c r="C43" s="47" t="str">
        <x:v>USD 34232261</x:v>
      </x:c>
      <x:c r="D43" s="47" t="str">
        <x:v>USD</x:v>
      </x:c>
      <x:c r="E43" s="48" t="str">
        <x:v>Facebook</x:v>
      </x:c>
      <x:c r="F43" s="49" t="n">
        <x:v>5.24</x:v>
      </x:c>
      <x:c r="G43" s="49" t="n">
        <x:v>0</x:v>
      </x:c>
      <x:c r="H43" s="50" t="n">
        <x:v>1</x:v>
      </x:c>
      <x:c r="I43" s="51" t="n">
        <x:f>IF(D43="USD",F43,F43/H43)</x:f>
        <x:v>5.24</x:v>
      </x:c>
      <x:c r="J43" s="51" t="n">
        <x:f>IF(D43="USD",G43,G43/H43)</x:f>
        <x:v>0</x:v>
      </x:c>
      <x:c r="K43" s="51" t="n">
        <x:f>J43-I43</x:f>
        <x:v>-5.24</x:v>
      </x:c>
      <x:c r="L43" s="48" t="str">
        <x:v>Salida</x:v>
      </x:c>
      <x:c r="M43" s="48" t="str">
        <x:v>Publicidad</x:v>
      </x:c>
      <x:c r="N43" s="48" t="str">
        <x:v>Pendiente</x:v>
      </x:c>
      <x:c r="O43" s="48" t="str">
        <x:v>Northlink</x:v>
      </x:c>
      <x:c r="P43" s="48" t="str">
        <x:v>Agosto 2026</x:v>
      </x:c>
      <x:c r="Q43" s="52"/>
      <x:c r="R43" s="52" t="str">
        <x:v>Publicidad</x:v>
      </x:c>
      <x:c r="S43" s="52" t="str">
        <x:v>Pendiente</x:v>
      </x:c>
      <x:c r="T43" s="52" t="str">
        <x:v>Northlink</x:v>
      </x:c>
      <x:c r="U43" s="52" t="str"/>
      <x:c r="V43" s="52"/>
      <x:c r="W43" s="52" t="str">
        <x:v>Pendiente</x:v>
      </x:c>
      <x:c r="X43" s="53"/>
    </x:row>
    <x:row r="44" ht="30" customHeight="1">
      <x:c r="A44" s="45" t="n">
        <x:v>24</x:v>
      </x:c>
      <x:c r="B44" s="46" t="n">
        <x:v>46243.75</x:v>
      </x:c>
      <x:c r="C44" s="47" t="str">
        <x:v>USD 34232261</x:v>
      </x:c>
      <x:c r="D44" s="47" t="str">
        <x:v>USD</x:v>
      </x:c>
      <x:c r="E44" s="48" t="str">
        <x:v>Reversion Facebook</x:v>
      </x:c>
      <x:c r="F44" s="49" t="n">
        <x:v>0</x:v>
      </x:c>
      <x:c r="G44" s="49" t="n">
        <x:v>5.16</x:v>
      </x:c>
      <x:c r="H44" s="50" t="n">
        <x:v>1</x:v>
      </x:c>
      <x:c r="I44" s="51" t="n">
        <x:f>IF(D44="USD",F44,F44/H44)</x:f>
        <x:v>0</x:v>
      </x:c>
      <x:c r="J44" s="51" t="n">
        <x:f>IF(D44="USD",G44,G44/H44)</x:f>
        <x:v>5.16</x:v>
      </x:c>
      <x:c r="K44" s="51" t="n">
        <x:f>J44-I44</x:f>
        <x:v>5.16</x:v>
      </x:c>
      <x:c r="L44" s="48" t="str">
        <x:v>Entrada</x:v>
      </x:c>
      <x:c r="M44" s="48" t="str">
        <x:v>Reversion/reembolso</x:v>
      </x:c>
      <x:c r="N44" s="48" t="str">
        <x:v>Reduce gasto</x:v>
      </x:c>
      <x:c r="O44" s="48" t="str">
        <x:v>Facebook</x:v>
      </x:c>
      <x:c r="P44" s="48" t="str">
        <x:v>Agosto 2026</x:v>
      </x:c>
      <x:c r="Q44" s="52"/>
      <x:c r="R44" s="52" t="str">
        <x:v>Reversion/reembolso</x:v>
      </x:c>
      <x:c r="S44" s="52" t="str">
        <x:v>Reduce gasto</x:v>
      </x:c>
      <x:c r="T44" s="52" t="str">
        <x:v>Facebook</x:v>
      </x:c>
      <x:c r="U44" s="52" t="str"/>
      <x:c r="V44" s="52"/>
      <x:c r="W44" s="52" t="str">
        <x:v>Revisado</x:v>
      </x:c>
      <x:c r="X44" s="53"/>
    </x:row>
    <x:row r="45" ht="30" customHeight="1">
      <x:c r="A45" s="45" t="n">
        <x:v>25</x:v>
      </x:c>
      <x:c r="B45" s="46" t="n">
        <x:v>46245.75</x:v>
      </x:c>
      <x:c r="C45" s="47" t="str">
        <x:v>USD 34232261</x:v>
      </x:c>
      <x:c r="D45" s="47" t="str">
        <x:v>USD</x:v>
      </x:c>
      <x:c r="E45" s="48" t="str">
        <x:v>Pago salario Axell + 20 USD Onell</x:v>
      </x:c>
      <x:c r="F45" s="49" t="n">
        <x:v>0</x:v>
      </x:c>
      <x:c r="G45" s="49" t="n">
        <x:v>130.46</x:v>
      </x:c>
      <x:c r="H45" s="50" t="n">
        <x:v>1</x:v>
      </x:c>
      <x:c r="I45" s="51" t="n">
        <x:f>IF(D45="USD",F45,F45/H45)</x:f>
        <x:v>0</x:v>
      </x:c>
      <x:c r="J45" s="51" t="n">
        <x:f>IF(D45="USD",G45,G45/H45)</x:f>
        <x:v>130.46</x:v>
      </x:c>
      <x:c r="K45" s="51" t="n">
        <x:f>J45-I45</x:f>
        <x:v>130.46</x:v>
      </x:c>
      <x:c r="L45" s="48" t="str">
        <x:v>Entrada</x:v>
      </x:c>
      <x:c r="M45" s="48" t="str">
        <x:v>Entrada no comercial</x:v>
      </x:c>
      <x:c r="N45" s="48" t="str">
        <x:v>Pendiente</x:v>
      </x:c>
      <x:c r="O45" s="48" t="str">
        <x:v>Axel / Harrinton</x:v>
      </x:c>
      <x:c r="P45" s="48" t="str">
        <x:v>Agosto 2026</x:v>
      </x:c>
      <x:c r="Q45" s="52"/>
      <x:c r="R45" s="52" t="str">
        <x:v>Entrada no comercial</x:v>
      </x:c>
      <x:c r="S45" s="52" t="str">
        <x:v>Pendiente</x:v>
      </x:c>
      <x:c r="T45" s="52" t="str">
        <x:v>Axel / Harrinton</x:v>
      </x:c>
      <x:c r="U45" s="52" t="str"/>
      <x:c r="V45" s="52"/>
      <x:c r="W45" s="52" t="str">
        <x:v>Pendiente</x:v>
      </x:c>
      <x:c r="X45" s="53"/>
    </x:row>
    <x:row r="46" ht="30" customHeight="1">
      <x:c r="A46" s="45" t="n">
        <x:v>26</x:v>
      </x:c>
      <x:c r="B46" s="46" t="n">
        <x:v>46245.75</x:v>
      </x:c>
      <x:c r="C46" s="47" t="str">
        <x:v>USD 34232261</x:v>
      </x:c>
      <x:c r="D46" s="47" t="str">
        <x:v>USD</x:v>
      </x:c>
      <x:c r="E46" s="48" t="str">
        <x:v>Retiro ATM Bancentro Esteli</x:v>
      </x:c>
      <x:c r="F46" s="49" t="n">
        <x:v>123.45</x:v>
      </x:c>
      <x:c r="G46" s="49" t="n">
        <x:v>0</x:v>
      </x:c>
      <x:c r="H46" s="50" t="n">
        <x:v>1</x:v>
      </x:c>
      <x:c r="I46" s="51" t="n">
        <x:f>IF(D46="USD",F46,F46/H46)</x:f>
        <x:v>123.45</x:v>
      </x:c>
      <x:c r="J46" s="51" t="n">
        <x:f>IF(D46="USD",G46,G46/H46)</x:f>
        <x:v>0</x:v>
      </x:c>
      <x:c r="K46" s="51" t="n">
        <x:f>J46-I46</x:f>
        <x:v>-123.45</x:v>
      </x:c>
      <x:c r="L46" s="48" t="str">
        <x:v>Salida</x:v>
      </x:c>
      <x:c r="M46" s="48" t="str">
        <x:v>Caja chica</x:v>
      </x:c>
      <x:c r="N46" s="48" t="str">
        <x:v>Fondo por liquidar</x:v>
      </x:c>
      <x:c r="O46" s="48" t="str">
        <x:v>Caja chica</x:v>
      </x:c>
      <x:c r="P46" s="48" t="str">
        <x:v>Agosto 2026</x:v>
      </x:c>
      <x:c r="Q46" s="52"/>
      <x:c r="R46" s="52" t="str">
        <x:v>Caja chica</x:v>
      </x:c>
      <x:c r="S46" s="52" t="str">
        <x:v>Fondo por liquidar</x:v>
      </x:c>
      <x:c r="T46" s="52" t="str">
        <x:v>Caja chica</x:v>
      </x:c>
      <x:c r="U46" s="52" t="str"/>
      <x:c r="V46" s="52"/>
      <x:c r="W46" s="52" t="str">
        <x:v>Pendiente</x:v>
      </x:c>
      <x:c r="X46" s="53"/>
    </x:row>
    <x:row r="47" ht="30" customHeight="1">
      <x:c r="A47" s="45" t="n">
        <x:v>27</x:v>
      </x:c>
      <x:c r="B47" s="46" t="n">
        <x:v>46245.75</x:v>
      </x:c>
      <x:c r="C47" s="47" t="str">
        <x:v>USD 34232261</x:v>
      </x:c>
      <x:c r="D47" s="47" t="str">
        <x:v>USD</x:v>
      </x:c>
      <x:c r="E47" s="48" t="str">
        <x:v>Comision retiro ATM</x:v>
      </x:c>
      <x:c r="F47" s="49" t="n">
        <x:v>0.03</x:v>
      </x:c>
      <x:c r="G47" s="49" t="n">
        <x:v>0</x:v>
      </x:c>
      <x:c r="H47" s="50" t="n">
        <x:v>1</x:v>
      </x:c>
      <x:c r="I47" s="51" t="n">
        <x:f>IF(D47="USD",F47,F47/H47)</x:f>
        <x:v>0.03</x:v>
      </x:c>
      <x:c r="J47" s="51" t="n">
        <x:f>IF(D47="USD",G47,G47/H47)</x:f>
        <x:v>0</x:v>
      </x:c>
      <x:c r="K47" s="51" t="n">
        <x:f>J47-I47</x:f>
        <x:v>-0.03</x:v>
      </x:c>
      <x:c r="L47" s="48" t="str">
        <x:v>Salida</x:v>
      </x:c>
      <x:c r="M47" s="48" t="str">
        <x:v>Comisiones bancarias</x:v>
      </x:c>
      <x:c r="N47" s="48" t="str">
        <x:v>Gasto empresarial</x:v>
      </x:c>
      <x:c r="O47" s="48" t="str">
        <x:v>Banco</x:v>
      </x:c>
      <x:c r="P47" s="48" t="str">
        <x:v>Agosto 2026</x:v>
      </x:c>
      <x:c r="Q47" s="52"/>
      <x:c r="R47" s="52" t="str">
        <x:v>Comisiones bancarias</x:v>
      </x:c>
      <x:c r="S47" s="52" t="str">
        <x:v>Gasto empresarial</x:v>
      </x:c>
      <x:c r="T47" s="52" t="str">
        <x:v>Banco</x:v>
      </x:c>
      <x:c r="U47" s="52" t="str"/>
      <x:c r="V47" s="52"/>
      <x:c r="W47" s="52" t="str">
        <x:v>Pendiente</x:v>
      </x:c>
      <x:c r="X47" s="53"/>
    </x:row>
    <x:row r="48" ht="30" customHeight="1">
      <x:c r="A48" s="45" t="n">
        <x:v>101</x:v>
      </x:c>
      <x:c r="B48" s="46" t="n">
        <x:v>46246.75</x:v>
      </x:c>
      <x:c r="C48" s="47" t="str">
        <x:v>NIO 39081312</x:v>
      </x:c>
      <x:c r="D48" s="47" t="str">
        <x:v>NIO</x:v>
      </x:c>
      <x:c r="E48" s="48" t="str">
        <x:v>Envio a mi cuenta dolares</x:v>
      </x:c>
      <x:c r="F48" s="49" t="n">
        <x:v>100</x:v>
      </x:c>
      <x:c r="G48" s="49" t="n">
        <x:v>0</x:v>
      </x:c>
      <x:c r="H48" s="50" t="n">
        <x:v>36.45</x:v>
      </x:c>
      <x:c r="I48" s="51" t="n">
        <x:f>IF(D48="USD",F48,F48/H48)</x:f>
        <x:v>2.743484224965706</x:v>
      </x:c>
      <x:c r="J48" s="51" t="n">
        <x:f>IF(D48="USD",G48,G48/H48)</x:f>
        <x:v>0</x:v>
      </x:c>
      <x:c r="K48" s="51" t="n">
        <x:f>J48-I48</x:f>
        <x:v>-2.743484224965706</x:v>
      </x:c>
      <x:c r="L48" s="48" t="str">
        <x:v>Salida</x:v>
      </x:c>
      <x:c r="M48" s="48" t="str">
        <x:v>Transferencia interna</x:v>
      </x:c>
      <x:c r="N48" s="48" t="str">
        <x:v>No es ingreso ni gasto</x:v>
      </x:c>
      <x:c r="O48" s="48" t="str">
        <x:v>Harrinton</x:v>
      </x:c>
      <x:c r="P48" s="48" t="str">
        <x:v>Agosto 2026</x:v>
      </x:c>
      <x:c r="Q48" s="52"/>
      <x:c r="R48" s="52" t="str">
        <x:v>Transferencia interna</x:v>
      </x:c>
      <x:c r="S48" s="52" t="str">
        <x:v>No es ingreso ni gasto</x:v>
      </x:c>
      <x:c r="T48" s="52" t="str">
        <x:v>Harrinton</x:v>
      </x:c>
      <x:c r="U48" s="52" t="str"/>
      <x:c r="V48" s="52"/>
      <x:c r="W48" s="52" t="str">
        <x:v>Revisado</x:v>
      </x:c>
      <x:c r="X48" s="53"/>
    </x:row>
    <x:row r="49" ht="30" customHeight="1">
      <x:c r="A49" s="45" t="n">
        <x:v>28</x:v>
      </x:c>
      <x:c r="B49" s="46" t="n">
        <x:v>46246.75</x:v>
      </x:c>
      <x:c r="C49" s="47" t="str">
        <x:v>USD 34232261</x:v>
      </x:c>
      <x:c r="D49" s="47" t="str">
        <x:v>USD</x:v>
      </x:c>
      <x:c r="E49" s="48" t="str">
        <x:v>Envio a mi cuenta dolares</x:v>
      </x:c>
      <x:c r="F49" s="49" t="n">
        <x:v>0</x:v>
      </x:c>
      <x:c r="G49" s="49" t="n">
        <x:v>2.69</x:v>
      </x:c>
      <x:c r="H49" s="50" t="n">
        <x:v>1</x:v>
      </x:c>
      <x:c r="I49" s="51" t="n">
        <x:f>IF(D49="USD",F49,F49/H49)</x:f>
        <x:v>0</x:v>
      </x:c>
      <x:c r="J49" s="51" t="n">
        <x:f>IF(D49="USD",G49,G49/H49)</x:f>
        <x:v>2.69</x:v>
      </x:c>
      <x:c r="K49" s="51" t="n">
        <x:f>J49-I49</x:f>
        <x:v>2.69</x:v>
      </x:c>
      <x:c r="L49" s="48" t="str">
        <x:v>Entrada</x:v>
      </x:c>
      <x:c r="M49" s="48" t="str">
        <x:v>Transferencia interna</x:v>
      </x:c>
      <x:c r="N49" s="48" t="str">
        <x:v>No es ingreso ni gasto</x:v>
      </x:c>
      <x:c r="O49" s="48" t="str">
        <x:v>Harrinton</x:v>
      </x:c>
      <x:c r="P49" s="48" t="str">
        <x:v>Agosto 2026</x:v>
      </x:c>
      <x:c r="Q49" s="52"/>
      <x:c r="R49" s="52" t="str">
        <x:v>Transferencia interna</x:v>
      </x:c>
      <x:c r="S49" s="52" t="str">
        <x:v>No es ingreso ni gasto</x:v>
      </x:c>
      <x:c r="T49" s="52" t="str">
        <x:v>Harrinton</x:v>
      </x:c>
      <x:c r="U49" s="52" t="str"/>
      <x:c r="V49" s="52"/>
      <x:c r="W49" s="52" t="str">
        <x:v>Revisado</x:v>
      </x:c>
      <x:c r="X49" s="53"/>
    </x:row>
    <x:row r="50" ht="30" customHeight="1">
      <x:c r="A50" s="45" t="n">
        <x:v>29</x:v>
      </x:c>
      <x:c r="B50" s="46" t="n">
        <x:v>46246.75</x:v>
      </x:c>
      <x:c r="C50" s="47" t="str">
        <x:v>USD 34232261</x:v>
      </x:c>
      <x:c r="D50" s="47" t="str">
        <x:v>USD</x:v>
      </x:c>
      <x:c r="E50" s="48" t="str">
        <x:v>Cloudflare</x:v>
      </x:c>
      <x:c r="F50" s="49" t="n">
        <x:v>10.46</x:v>
      </x:c>
      <x:c r="G50" s="49" t="n">
        <x:v>0</x:v>
      </x:c>
      <x:c r="H50" s="50" t="n">
        <x:v>1</x:v>
      </x:c>
      <x:c r="I50" s="51" t="n">
        <x:f>IF(D50="USD",F50,F50/H50)</x:f>
        <x:v>10.46</x:v>
      </x:c>
      <x:c r="J50" s="51" t="n">
        <x:f>IF(D50="USD",G50,G50/H50)</x:f>
        <x:v>0</x:v>
      </x:c>
      <x:c r="K50" s="51" t="n">
        <x:f>J50-I50</x:f>
        <x:v>-10.46</x:v>
      </x:c>
      <x:c r="L50" s="48" t="str">
        <x:v>Salida</x:v>
      </x:c>
      <x:c r="M50" s="48" t="str">
        <x:v>Software y suscripciones</x:v>
      </x:c>
      <x:c r="N50" s="48" t="str">
        <x:v>Pendiente</x:v>
      </x:c>
      <x:c r="O50" s="48" t="str">
        <x:v>Northlink</x:v>
      </x:c>
      <x:c r="P50" s="48" t="str">
        <x:v>Agosto 2026</x:v>
      </x:c>
      <x:c r="Q50" s="52"/>
      <x:c r="R50" s="52" t="str">
        <x:v>Software y suscripciones</x:v>
      </x:c>
      <x:c r="S50" s="52" t="str">
        <x:v>Pendiente</x:v>
      </x:c>
      <x:c r="T50" s="52" t="str">
        <x:v>Northlink</x:v>
      </x:c>
      <x:c r="U50" s="52" t="str"/>
      <x:c r="V50" s="52"/>
      <x:c r="W50" s="52" t="str">
        <x:v>Pendiente</x:v>
      </x:c>
      <x:c r="X50" s="53"/>
    </x:row>
    <x:row r="51" ht="30" customHeight="1">
      <x:c r="A51" s="45" t="n">
        <x:v>30</x:v>
      </x:c>
      <x:c r="B51" s="46" t="n">
        <x:v>46247.75</x:v>
      </x:c>
      <x:c r="C51" s="47" t="str">
        <x:v>USD 34232261</x:v>
      </x:c>
      <x:c r="D51" s="47" t="str">
        <x:v>USD</x:v>
      </x:c>
      <x:c r="E51" s="48" t="str">
        <x:v>Resto de efectivo en la cuenta</x:v>
      </x:c>
      <x:c r="F51" s="49" t="n">
        <x:v>0</x:v>
      </x:c>
      <x:c r="G51" s="49" t="n">
        <x:v>200</x:v>
      </x:c>
      <x:c r="H51" s="50" t="n">
        <x:v>1</x:v>
      </x:c>
      <x:c r="I51" s="51" t="n">
        <x:f>IF(D51="USD",F51,F51/H51)</x:f>
        <x:v>0</x:v>
      </x:c>
      <x:c r="J51" s="51" t="n">
        <x:f>IF(D51="USD",G51,G51/H51)</x:f>
        <x:v>200</x:v>
      </x:c>
      <x:c r="K51" s="51" t="n">
        <x:f>J51-I51</x:f>
        <x:v>200</x:v>
      </x:c>
      <x:c r="L51" s="48" t="str">
        <x:v>Entrada</x:v>
      </x:c>
      <x:c r="M51" s="48" t="str">
        <x:v>Fondos de periodo anterior</x:v>
      </x:c>
      <x:c r="N51" s="48" t="str">
        <x:v>No es ingreso de agosto</x:v>
      </x:c>
      <x:c r="O51" s="48" t="str">
        <x:v>Aaron</x:v>
      </x:c>
      <x:c r="P51" s="48" t="str">
        <x:v>Julio 2026</x:v>
      </x:c>
      <x:c r="Q51" s="52"/>
      <x:c r="R51" s="52" t="str">
        <x:v>Fondos de periodo anterior</x:v>
      </x:c>
      <x:c r="S51" s="52" t="str">
        <x:v>No es ingreso de agosto</x:v>
      </x:c>
      <x:c r="T51" s="52" t="str">
        <x:v>Aaron</x:v>
      </x:c>
      <x:c r="U51" s="52" t="str">
        <x:v>Ferreteria Ruiz</x:v>
      </x:c>
      <x:c r="V51" s="52"/>
      <x:c r="W51" s="52" t="str">
        <x:v>Revisado</x:v>
      </x:c>
      <x:c r="X51" s="53"/>
    </x:row>
    <x:row r="52" ht="30" customHeight="1">
      <x:c r="A52" s="45" t="n">
        <x:v>31</x:v>
      </x:c>
      <x:c r="B52" s="46" t="n">
        <x:v>46247.75</x:v>
      </x:c>
      <x:c r="C52" s="47" t="str">
        <x:v>USD 34232261</x:v>
      </x:c>
      <x:c r="D52" s="47" t="str">
        <x:v>USD</x:v>
      </x:c>
      <x:c r="E52" s="48" t="str">
        <x:v>Envio a Ronald</x:v>
      </x:c>
      <x:c r="F52" s="49" t="n">
        <x:v>45</x:v>
      </x:c>
      <x:c r="G52" s="49" t="n">
        <x:v>0</x:v>
      </x:c>
      <x:c r="H52" s="50" t="n">
        <x:v>1</x:v>
      </x:c>
      <x:c r="I52" s="51" t="n">
        <x:f>IF(D52="USD",F52,F52/H52)</x:f>
        <x:v>45</x:v>
      </x:c>
      <x:c r="J52" s="51" t="n">
        <x:f>IF(D52="USD",G52,G52/H52)</x:f>
        <x:v>0</x:v>
      </x:c>
      <x:c r="K52" s="51" t="n">
        <x:f>J52-I52</x:f>
        <x:v>-45</x:v>
      </x:c>
      <x:c r="L52" s="48" t="str">
        <x:v>Salida</x:v>
      </x:c>
      <x:c r="M52" s="48" t="str">
        <x:v>Viaticos - alimentacion</x:v>
      </x:c>
      <x:c r="N52" s="48" t="str">
        <x:v>Gasto empresarial</x:v>
      </x:c>
      <x:c r="O52" s="48" t="str">
        <x:v>Ronald</x:v>
      </x:c>
      <x:c r="P52" s="48" t="str">
        <x:v>Agosto 2026</x:v>
      </x:c>
      <x:c r="Q52" s="52"/>
      <x:c r="R52" s="52" t="str">
        <x:v>Viaticos - alimentacion</x:v>
      </x:c>
      <x:c r="S52" s="52" t="str">
        <x:v>Gasto empresarial</x:v>
      </x:c>
      <x:c r="T52" s="52" t="str">
        <x:v>Ronald</x:v>
      </x:c>
      <x:c r="U52" s="52" t="str">
        <x:v>Viaje Waslala</x:v>
      </x:c>
      <x:c r="V52" s="52"/>
      <x:c r="W52" s="52" t="str">
        <x:v>Pendiente</x:v>
      </x:c>
      <x:c r="X52" s="53"/>
    </x:row>
    <x:row r="53" ht="30" customHeight="1">
      <x:c r="A53" s="45" t="n">
        <x:v>32</x:v>
      </x:c>
      <x:c r="B53" s="46" t="n">
        <x:v>46247.75</x:v>
      </x:c>
      <x:c r="C53" s="47" t="str">
        <x:v>USD 34232261</x:v>
      </x:c>
      <x:c r="D53" s="47" t="str">
        <x:v>USD</x:v>
      </x:c>
      <x:c r="E53" s="48" t="str">
        <x:v>Anticipo Sistema Contable</x:v>
      </x:c>
      <x:c r="F53" s="49" t="n">
        <x:v>0</x:v>
      </x:c>
      <x:c r="G53" s="49" t="n">
        <x:v>3540</x:v>
      </x:c>
      <x:c r="H53" s="50" t="n">
        <x:v>1</x:v>
      </x:c>
      <x:c r="I53" s="51" t="n">
        <x:f>IF(D53="USD",F53,F53/H53)</x:f>
        <x:v>0</x:v>
      </x:c>
      <x:c r="J53" s="51" t="n">
        <x:f>IF(D53="USD",G53,G53/H53)</x:f>
        <x:v>3540</x:v>
      </x:c>
      <x:c r="K53" s="51" t="n">
        <x:f>J53-I53</x:f>
        <x:v>3540</x:v>
      </x:c>
      <x:c r="L53" s="48" t="str">
        <x:v>Entrada</x:v>
      </x:c>
      <x:c r="M53" s="48" t="str">
        <x:v>Ingreso cliente</x:v>
      </x:c>
      <x:c r="N53" s="48" t="str">
        <x:v>Ingreso empresarial</x:v>
      </x:c>
      <x:c r="O53" s="48" t="str">
        <x:v>Don Roger</x:v>
      </x:c>
      <x:c r="P53" s="48" t="str">
        <x:v>Agosto 2026</x:v>
      </x:c>
      <x:c r="Q53" s="52"/>
      <x:c r="R53" s="52" t="str">
        <x:v>Ingreso cliente</x:v>
      </x:c>
      <x:c r="S53" s="52" t="str">
        <x:v>Ingreso empresarial</x:v>
      </x:c>
      <x:c r="T53" s="52" t="str">
        <x:v>Don Roger</x:v>
      </x:c>
      <x:c r="U53" s="52" t="str">
        <x:v>Lacteos Quebar</x:v>
      </x:c>
      <x:c r="V53" s="52"/>
      <x:c r="W53" s="52" t="str">
        <x:v>Revisado</x:v>
      </x:c>
      <x:c r="X53" s="53"/>
    </x:row>
    <x:row r="54" ht="30" customHeight="1">
      <x:c r="A54" s="45" t="n">
        <x:v>33</x:v>
      </x:c>
      <x:c r="B54" s="46" t="n">
        <x:v>46247.75</x:v>
      </x:c>
      <x:c r="C54" s="47" t="str">
        <x:v>USD 34232261</x:v>
      </x:c>
      <x:c r="D54" s="47" t="str">
        <x:v>USD</x:v>
      </x:c>
      <x:c r="E54" s="48" t="str">
        <x:v>Envio a Jairo</x:v>
      </x:c>
      <x:c r="F54" s="49" t="n">
        <x:v>25</x:v>
      </x:c>
      <x:c r="G54" s="49" t="n">
        <x:v>0</x:v>
      </x:c>
      <x:c r="H54" s="50" t="n">
        <x:v>1</x:v>
      </x:c>
      <x:c r="I54" s="51" t="n">
        <x:f>IF(D54="USD",F54,F54/H54)</x:f>
        <x:v>25</x:v>
      </x:c>
      <x:c r="J54" s="51" t="n">
        <x:f>IF(D54="USD",G54,G54/H54)</x:f>
        <x:v>0</x:v>
      </x:c>
      <x:c r="K54" s="51" t="n">
        <x:f>J54-I54</x:f>
        <x:v>-25</x:v>
      </x:c>
      <x:c r="L54" s="48" t="str">
        <x:v>Salida</x:v>
      </x:c>
      <x:c r="M54" s="48" t="str">
        <x:v>Combustible</x:v>
      </x:c>
      <x:c r="N54" s="48" t="str">
        <x:v>Gasto empresarial</x:v>
      </x:c>
      <x:c r="O54" s="48" t="str">
        <x:v>Jairo</x:v>
      </x:c>
      <x:c r="P54" s="48" t="str">
        <x:v>Agosto 2026</x:v>
      </x:c>
      <x:c r="Q54" s="52"/>
      <x:c r="R54" s="52" t="str">
        <x:v>Combustible</x:v>
      </x:c>
      <x:c r="S54" s="52" t="str">
        <x:v>Gasto empresarial</x:v>
      </x:c>
      <x:c r="T54" s="52" t="str">
        <x:v>Jairo</x:v>
      </x:c>
      <x:c r="U54" s="52" t="str"/>
      <x:c r="V54" s="52"/>
      <x:c r="W54" s="52" t="str">
        <x:v>Pendiente</x:v>
      </x:c>
      <x:c r="X54" s="53"/>
    </x:row>
    <x:row r="55" ht="30" customHeight="1">
      <x:c r="A55" s="45" t="n">
        <x:v>34</x:v>
      </x:c>
      <x:c r="B55" s="46" t="n">
        <x:v>46248.75</x:v>
      </x:c>
      <x:c r="C55" s="47" t="str">
        <x:v>USD 34232261</x:v>
      </x:c>
      <x:c r="D55" s="47" t="str">
        <x:v>USD</x:v>
      </x:c>
      <x:c r="E55" s="48" t="str">
        <x:v>Mi Claro Express</x:v>
      </x:c>
      <x:c r="F55" s="49" t="n">
        <x:v>3.01</x:v>
      </x:c>
      <x:c r="G55" s="49" t="n">
        <x:v>0</x:v>
      </x:c>
      <x:c r="H55" s="50" t="n">
        <x:v>1</x:v>
      </x:c>
      <x:c r="I55" s="51" t="n">
        <x:f>IF(D55="USD",F55,F55/H55)</x:f>
        <x:v>3.01</x:v>
      </x:c>
      <x:c r="J55" s="51" t="n">
        <x:f>IF(D55="USD",G55,G55/H55)</x:f>
        <x:v>0</x:v>
      </x:c>
      <x:c r="K55" s="51" t="n">
        <x:f>J55-I55</x:f>
        <x:v>-3.01</x:v>
      </x:c>
      <x:c r="L55" s="48" t="str">
        <x:v>Salida</x:v>
      </x:c>
      <x:c r="M55" s="48" t="str">
        <x:v>Telecomunicaciones</x:v>
      </x:c>
      <x:c r="N55" s="48" t="str">
        <x:v>Pendiente</x:v>
      </x:c>
      <x:c r="O55" s="48" t="str">
        <x:v>Harrinton</x:v>
      </x:c>
      <x:c r="P55" s="48" t="str">
        <x:v>Agosto 2026</x:v>
      </x:c>
      <x:c r="Q55" s="52"/>
      <x:c r="R55" s="52" t="str">
        <x:v>Telecomunicaciones</x:v>
      </x:c>
      <x:c r="S55" s="52" t="str">
        <x:v>Pendiente</x:v>
      </x:c>
      <x:c r="T55" s="52" t="str">
        <x:v>Harrinton</x:v>
      </x:c>
      <x:c r="U55" s="52" t="str"/>
      <x:c r="V55" s="52"/>
      <x:c r="W55" s="52" t="str">
        <x:v>Pendiente</x:v>
      </x:c>
      <x:c r="X55" s="53"/>
    </x:row>
    <x:row r="56" ht="30" customHeight="1">
      <x:c r="A56" s="45" t="n">
        <x:v>35</x:v>
      </x:c>
      <x:c r="B56" s="46" t="n">
        <x:v>46248.75</x:v>
      </x:c>
      <x:c r="C56" s="47" t="str">
        <x:v>USD 34232261</x:v>
      </x:c>
      <x:c r="D56" s="47" t="str">
        <x:v>USD</x:v>
      </x:c>
      <x:c r="E56" s="48" t="str">
        <x:v>Guayacan Coffee</x:v>
      </x:c>
      <x:c r="F56" s="49" t="n">
        <x:v>38.93</x:v>
      </x:c>
      <x:c r="G56" s="49" t="n">
        <x:v>0</x:v>
      </x:c>
      <x:c r="H56" s="50" t="n">
        <x:v>1</x:v>
      </x:c>
      <x:c r="I56" s="51" t="n">
        <x:f>IF(D56="USD",F56,F56/H56)</x:f>
        <x:v>38.93</x:v>
      </x:c>
      <x:c r="J56" s="51" t="n">
        <x:f>IF(D56="USD",G56,G56/H56)</x:f>
        <x:v>0</x:v>
      </x:c>
      <x:c r="K56" s="51" t="n">
        <x:f>J56-I56</x:f>
        <x:v>-38.93</x:v>
      </x:c>
      <x:c r="L56" s="48" t="str">
        <x:v>Salida</x:v>
      </x:c>
      <x:c r="M56" s="48" t="str">
        <x:v>Viaticos</x:v>
      </x:c>
      <x:c r="N56" s="48" t="str">
        <x:v>Gasto empresarial</x:v>
      </x:c>
      <x:c r="O56" s="48" t="str">
        <x:v>Equipo Northlink</x:v>
      </x:c>
      <x:c r="P56" s="48" t="str">
        <x:v>Agosto 2026</x:v>
      </x:c>
      <x:c r="Q56" s="52"/>
      <x:c r="R56" s="52" t="str">
        <x:v>Viaticos</x:v>
      </x:c>
      <x:c r="S56" s="52" t="str">
        <x:v>Gasto empresarial</x:v>
      </x:c>
      <x:c r="T56" s="52" t="str">
        <x:v>Equipo Northlink</x:v>
      </x:c>
      <x:c r="U56" s="52" t="str">
        <x:v>Viaje laboral</x:v>
      </x:c>
      <x:c r="V56" s="52"/>
      <x:c r="W56" s="52" t="str">
        <x:v>Pendiente</x:v>
      </x:c>
      <x:c r="X56" s="53"/>
    </x:row>
    <x:row r="57" ht="30" customHeight="1">
      <x:c r="A57" s="45" t="n">
        <x:v>36</x:v>
      </x:c>
      <x:c r="B57" s="46" t="n">
        <x:v>46248.75</x:v>
      </x:c>
      <x:c r="C57" s="47" t="str">
        <x:v>USD 34232261</x:v>
      </x:c>
      <x:c r="D57" s="47" t="str">
        <x:v>USD</x:v>
      </x:c>
      <x:c r="E57" s="48" t="str">
        <x:v>Transferencia entre cuentas</x:v>
      </x:c>
      <x:c r="F57" s="49" t="n">
        <x:v>0</x:v>
      </x:c>
      <x:c r="G57" s="49" t="n">
        <x:v>300</x:v>
      </x:c>
      <x:c r="H57" s="50" t="n">
        <x:v>1</x:v>
      </x:c>
      <x:c r="I57" s="51" t="n">
        <x:f>IF(D57="USD",F57,F57/H57)</x:f>
        <x:v>0</x:v>
      </x:c>
      <x:c r="J57" s="51" t="n">
        <x:f>IF(D57="USD",G57,G57/H57)</x:f>
        <x:v>300</x:v>
      </x:c>
      <x:c r="K57" s="51" t="n">
        <x:f>J57-I57</x:f>
        <x:v>300</x:v>
      </x:c>
      <x:c r="L57" s="48" t="str">
        <x:v>Entrada</x:v>
      </x:c>
      <x:c r="M57" s="48" t="str">
        <x:v>Transferencia interna</x:v>
      </x:c>
      <x:c r="N57" s="48" t="str">
        <x:v>No es ingreso ni gasto</x:v>
      </x:c>
      <x:c r="O57" s="48" t="str">
        <x:v>Harrinton</x:v>
      </x:c>
      <x:c r="P57" s="48" t="str">
        <x:v>Agosto 2026</x:v>
      </x:c>
      <x:c r="Q57" s="52"/>
      <x:c r="R57" s="52" t="str">
        <x:v>Transferencia interna</x:v>
      </x:c>
      <x:c r="S57" s="52" t="str">
        <x:v>No es ingreso ni gasto</x:v>
      </x:c>
      <x:c r="T57" s="52" t="str">
        <x:v>Harrinton</x:v>
      </x:c>
      <x:c r="U57" s="52" t="str"/>
      <x:c r="V57" s="52"/>
      <x:c r="W57" s="52" t="str">
        <x:v>Revisado</x:v>
      </x:c>
      <x:c r="X57" s="53"/>
    </x:row>
    <x:row r="58" ht="30" customHeight="1">
      <x:c r="A58" s="45" t="n">
        <x:v>102</x:v>
      </x:c>
      <x:c r="B58" s="46" t="n">
        <x:v>46249.75</x:v>
      </x:c>
      <x:c r="C58" s="47" t="str">
        <x:v>NIO 39081312</x:v>
      </x:c>
      <x:c r="D58" s="47" t="str">
        <x:v>NIO</x:v>
      </x:c>
      <x:c r="E58" s="48" t="str">
        <x:v>Retiro ATM El Rosario</x:v>
      </x:c>
      <x:c r="F58" s="49" t="n">
        <x:v>3500</x:v>
      </x:c>
      <x:c r="G58" s="49" t="n">
        <x:v>0</x:v>
      </x:c>
      <x:c r="H58" s="50" t="n">
        <x:v>36.45</x:v>
      </x:c>
      <x:c r="I58" s="51" t="n">
        <x:f>IF(D58="USD",F58,F58/H58)</x:f>
        <x:v>96.02194787379972</x:v>
      </x:c>
      <x:c r="J58" s="51" t="n">
        <x:f>IF(D58="USD",G58,G58/H58)</x:f>
        <x:v>0</x:v>
      </x:c>
      <x:c r="K58" s="51" t="n">
        <x:f>J58-I58</x:f>
        <x:v>-96.02194787379972</x:v>
      </x:c>
      <x:c r="L58" s="48" t="str">
        <x:v>Salida</x:v>
      </x:c>
      <x:c r="M58" s="48" t="str">
        <x:v>Retiro para nomina</x:v>
      </x:c>
      <x:c r="N58" s="48" t="str">
        <x:v>Fondo por liquidar</x:v>
      </x:c>
      <x:c r="O58" s="48" t="str">
        <x:v>Nomina</x:v>
      </x:c>
      <x:c r="P58" s="48" t="str">
        <x:v>Agosto 2026</x:v>
      </x:c>
      <x:c r="Q58" s="52"/>
      <x:c r="R58" s="52" t="str">
        <x:v>Retiro para nomina</x:v>
      </x:c>
      <x:c r="S58" s="52" t="str">
        <x:v>Fondo por liquidar</x:v>
      </x:c>
      <x:c r="T58" s="52" t="str">
        <x:v>Nomina</x:v>
      </x:c>
      <x:c r="U58" s="52" t="str"/>
      <x:c r="V58" s="52"/>
      <x:c r="W58" s="52" t="str">
        <x:v>Pendiente</x:v>
      </x:c>
      <x:c r="X58" s="53"/>
    </x:row>
    <x:row r="59" ht="30" customHeight="1">
      <x:c r="A59" s="45" t="n">
        <x:v>103</x:v>
      </x:c>
      <x:c r="B59" s="46" t="n">
        <x:v>46249.75</x:v>
      </x:c>
      <x:c r="C59" s="47" t="str">
        <x:v>NIO 39081312</x:v>
      </x:c>
      <x:c r="D59" s="47" t="str">
        <x:v>NIO</x:v>
      </x:c>
      <x:c r="E59" s="48" t="str">
        <x:v>Comision retiro ATM</x:v>
      </x:c>
      <x:c r="F59" s="49" t="n">
        <x:v>1.1</x:v>
      </x:c>
      <x:c r="G59" s="49" t="n">
        <x:v>0</x:v>
      </x:c>
      <x:c r="H59" s="50" t="n">
        <x:v>36.45</x:v>
      </x:c>
      <x:c r="I59" s="51" t="n">
        <x:f>IF(D59="USD",F59,F59/H59)</x:f>
        <x:v>0.03017832647462277</x:v>
      </x:c>
      <x:c r="J59" s="51" t="n">
        <x:f>IF(D59="USD",G59,G59/H59)</x:f>
        <x:v>0</x:v>
      </x:c>
      <x:c r="K59" s="51" t="n">
        <x:f>J59-I59</x:f>
        <x:v>-0.03017832647462277</x:v>
      </x:c>
      <x:c r="L59" s="48" t="str">
        <x:v>Salida</x:v>
      </x:c>
      <x:c r="M59" s="48" t="str">
        <x:v>Comisiones bancarias</x:v>
      </x:c>
      <x:c r="N59" s="48" t="str">
        <x:v>Gasto empresarial</x:v>
      </x:c>
      <x:c r="O59" s="48" t="str">
        <x:v>Banco</x:v>
      </x:c>
      <x:c r="P59" s="48" t="str">
        <x:v>Agosto 2026</x:v>
      </x:c>
      <x:c r="Q59" s="52"/>
      <x:c r="R59" s="52" t="str">
        <x:v>Comisiones bancarias</x:v>
      </x:c>
      <x:c r="S59" s="52" t="str">
        <x:v>Gasto empresarial</x:v>
      </x:c>
      <x:c r="T59" s="52" t="str">
        <x:v>Banco</x:v>
      </x:c>
      <x:c r="U59" s="52" t="str"/>
      <x:c r="V59" s="52"/>
      <x:c r="W59" s="52" t="str">
        <x:v>Pendiente</x:v>
      </x:c>
      <x:c r="X59" s="53"/>
    </x:row>
    <x:row r="60" ht="30" customHeight="1">
      <x:c r="A60" s="45" t="n">
        <x:v>104</x:v>
      </x:c>
      <x:c r="B60" s="46" t="n">
        <x:v>46249.75</x:v>
      </x:c>
      <x:c r="C60" s="47" t="str">
        <x:v>NIO 39081312</x:v>
      </x:c>
      <x:c r="D60" s="47" t="str">
        <x:v>NIO</x:v>
      </x:c>
      <x:c r="E60" s="48" t="str">
        <x:v>Pago planilla agosto primera quincena</x:v>
      </x:c>
      <x:c r="F60" s="49" t="n">
        <x:v>4659.39</x:v>
      </x:c>
      <x:c r="G60" s="49" t="n">
        <x:v>0</x:v>
      </x:c>
      <x:c r="H60" s="50" t="n">
        <x:v>36.45</x:v>
      </x:c>
      <x:c r="I60" s="51" t="n">
        <x:f>IF(D60="USD",F60,F60/H60)</x:f>
        <x:v>127.82962962962962</x:v>
      </x:c>
      <x:c r="J60" s="51" t="n">
        <x:f>IF(D60="USD",G60,G60/H60)</x:f>
        <x:v>0</x:v>
      </x:c>
      <x:c r="K60" s="51" t="n">
        <x:f>J60-I60</x:f>
        <x:v>-127.82962962962962</x:v>
      </x:c>
      <x:c r="L60" s="48" t="str">
        <x:v>Salida</x:v>
      </x:c>
      <x:c r="M60" s="48" t="str">
        <x:v>Nomina</x:v>
      </x:c>
      <x:c r="N60" s="48" t="str">
        <x:v>Gasto empresarial</x:v>
      </x:c>
      <x:c r="O60" s="48" t="str">
        <x:v>Jairo</x:v>
      </x:c>
      <x:c r="P60" s="48" t="str">
        <x:v>Agosto 2026</x:v>
      </x:c>
      <x:c r="Q60" s="52"/>
      <x:c r="R60" s="52" t="str">
        <x:v>Nomina</x:v>
      </x:c>
      <x:c r="S60" s="52" t="str">
        <x:v>Gasto empresarial</x:v>
      </x:c>
      <x:c r="T60" s="52" t="str">
        <x:v>Jairo</x:v>
      </x:c>
      <x:c r="U60" s="52" t="str"/>
      <x:c r="V60" s="52"/>
      <x:c r="W60" s="52" t="str">
        <x:v>Pendiente</x:v>
      </x:c>
      <x:c r="X60" s="53"/>
    </x:row>
    <x:row r="61" ht="30" customHeight="1">
      <x:c r="A61" s="45" t="n">
        <x:v>105</x:v>
      </x:c>
      <x:c r="B61" s="46" t="n">
        <x:v>46249.75</x:v>
      </x:c>
      <x:c r="C61" s="47" t="str">
        <x:v>NIO 39081312</x:v>
      </x:c>
      <x:c r="D61" s="47" t="str">
        <x:v>NIO</x:v>
      </x:c>
      <x:c r="E61" s="48" t="str">
        <x:v>Envio a Jairo</x:v>
      </x:c>
      <x:c r="F61" s="49" t="n">
        <x:v>1000</x:v>
      </x:c>
      <x:c r="G61" s="49" t="n">
        <x:v>0</x:v>
      </x:c>
      <x:c r="H61" s="50" t="n">
        <x:v>36.45</x:v>
      </x:c>
      <x:c r="I61" s="51" t="n">
        <x:f>IF(D61="USD",F61,F61/H61)</x:f>
        <x:v>27.434842249657063</x:v>
      </x:c>
      <x:c r="J61" s="51" t="n">
        <x:f>IF(D61="USD",G61,G61/H61)</x:f>
        <x:v>0</x:v>
      </x:c>
      <x:c r="K61" s="51" t="n">
        <x:f>J61-I61</x:f>
        <x:v>-27.434842249657063</x:v>
      </x:c>
      <x:c r="L61" s="48" t="str">
        <x:v>Salida</x:v>
      </x:c>
      <x:c r="M61" s="48" t="str">
        <x:v>Pago de deuda personal</x:v>
      </x:c>
      <x:c r="N61" s="48" t="str">
        <x:v>Recuperable/personal</x:v>
      </x:c>
      <x:c r="O61" s="48" t="str">
        <x:v>Harrinton</x:v>
      </x:c>
      <x:c r="P61" s="48" t="str">
        <x:v>Agosto 2026</x:v>
      </x:c>
      <x:c r="Q61" s="52"/>
      <x:c r="R61" s="52" t="str">
        <x:v>Pago de deuda personal</x:v>
      </x:c>
      <x:c r="S61" s="52" t="str">
        <x:v>Recuperable/personal</x:v>
      </x:c>
      <x:c r="T61" s="52" t="str">
        <x:v>Harrinton</x:v>
      </x:c>
      <x:c r="U61" s="52" t="str"/>
      <x:c r="V61" s="52"/>
      <x:c r="W61" s="52" t="str">
        <x:v>Pendiente</x:v>
      </x:c>
      <x:c r="X61" s="53"/>
    </x:row>
    <x:row r="62" ht="30" customHeight="1">
      <x:c r="A62" s="45" t="n">
        <x:v>106</x:v>
      </x:c>
      <x:c r="B62" s="46" t="n">
        <x:v>46249.75</x:v>
      </x:c>
      <x:c r="C62" s="47" t="str">
        <x:v>NIO 39081312</x:v>
      </x:c>
      <x:c r="D62" s="47" t="str">
        <x:v>NIO</x:v>
      </x:c>
      <x:c r="E62" s="48" t="str">
        <x:v>The Coffee Hub</x:v>
      </x:c>
      <x:c r="F62" s="49" t="n">
        <x:v>355</x:v>
      </x:c>
      <x:c r="G62" s="49" t="n">
        <x:v>0</x:v>
      </x:c>
      <x:c r="H62" s="50" t="n">
        <x:v>36.45</x:v>
      </x:c>
      <x:c r="I62" s="51" t="n">
        <x:f>IF(D62="USD",F62,F62/H62)</x:f>
        <x:v>9.739368998628256</x:v>
      </x:c>
      <x:c r="J62" s="51" t="n">
        <x:f>IF(D62="USD",G62,G62/H62)</x:f>
        <x:v>0</x:v>
      </x:c>
      <x:c r="K62" s="51" t="n">
        <x:f>J62-I62</x:f>
        <x:v>-9.739368998628256</x:v>
      </x:c>
      <x:c r="L62" s="48" t="str">
        <x:v>Salida</x:v>
      </x:c>
      <x:c r="M62" s="48" t="str">
        <x:v>Consumo personal</x:v>
      </x:c>
      <x:c r="N62" s="48" t="str">
        <x:v>Recuperable/personal</x:v>
      </x:c>
      <x:c r="O62" s="48" t="str">
        <x:v>Harrinton</x:v>
      </x:c>
      <x:c r="P62" s="48" t="str">
        <x:v>Agosto 2026</x:v>
      </x:c>
      <x:c r="Q62" s="52"/>
      <x:c r="R62" s="52" t="str">
        <x:v>Consumo personal</x:v>
      </x:c>
      <x:c r="S62" s="52" t="str">
        <x:v>Recuperable/personal</x:v>
      </x:c>
      <x:c r="T62" s="52" t="str">
        <x:v>Harrinton</x:v>
      </x:c>
      <x:c r="U62" s="52" t="str"/>
      <x:c r="V62" s="52"/>
      <x:c r="W62" s="52" t="str">
        <x:v>Pendiente</x:v>
      </x:c>
      <x:c r="X62" s="53"/>
    </x:row>
    <x:row r="63" ht="30" customHeight="1">
      <x:c r="A63" s="45" t="n">
        <x:v>107</x:v>
      </x:c>
      <x:c r="B63" s="46" t="n">
        <x:v>46249.75</x:v>
      </x:c>
      <x:c r="C63" s="47" t="str">
        <x:v>NIO 39081312</x:v>
      </x:c>
      <x:c r="D63" s="47" t="str">
        <x:v>NIO</x:v>
      </x:c>
      <x:c r="E63" s="48" t="str">
        <x:v>Spotify</x:v>
      </x:c>
      <x:c r="F63" s="49" t="n">
        <x:v>241.29</x:v>
      </x:c>
      <x:c r="G63" s="49" t="n">
        <x:v>0</x:v>
      </x:c>
      <x:c r="H63" s="50" t="n">
        <x:v>36.45</x:v>
      </x:c>
      <x:c r="I63" s="51" t="n">
        <x:f>IF(D63="USD",F63,F63/H63)</x:f>
        <x:v>6.6197530864197525</x:v>
      </x:c>
      <x:c r="J63" s="51" t="n">
        <x:f>IF(D63="USD",G63,G63/H63)</x:f>
        <x:v>0</x:v>
      </x:c>
      <x:c r="K63" s="51" t="n">
        <x:f>J63-I63</x:f>
        <x:v>-6.6197530864197525</x:v>
      </x:c>
      <x:c r="L63" s="48" t="str">
        <x:v>Salida</x:v>
      </x:c>
      <x:c r="M63" s="48" t="str">
        <x:v>Software y suscripciones</x:v>
      </x:c>
      <x:c r="N63" s="48" t="str">
        <x:v>Pendiente</x:v>
      </x:c>
      <x:c r="O63" s="48" t="str">
        <x:v>Harrinton</x:v>
      </x:c>
      <x:c r="P63" s="48" t="str">
        <x:v>Agosto 2026</x:v>
      </x:c>
      <x:c r="Q63" s="52"/>
      <x:c r="R63" s="52" t="str">
        <x:v>Software y suscripciones</x:v>
      </x:c>
      <x:c r="S63" s="52" t="str">
        <x:v>Pendiente</x:v>
      </x:c>
      <x:c r="T63" s="52" t="str">
        <x:v>Harrinton</x:v>
      </x:c>
      <x:c r="U63" s="52" t="str"/>
      <x:c r="V63" s="52"/>
      <x:c r="W63" s="52" t="str">
        <x:v>Pendiente</x:v>
      </x:c>
      <x:c r="X63" s="53"/>
    </x:row>
    <x:row r="64" ht="30" customHeight="1">
      <x:c r="A64" s="45" t="n">
        <x:v>108</x:v>
      </x:c>
      <x:c r="B64" s="46" t="n">
        <x:v>46249.75</x:v>
      </x:c>
      <x:c r="C64" s="47" t="str">
        <x:v>NIO 39081312</x:v>
      </x:c>
      <x:c r="D64" s="47" t="str">
        <x:v>NIO</x:v>
      </x:c>
      <x:c r="E64" s="48" t="str">
        <x:v>Transferencia desde cuenta USD</x:v>
      </x:c>
      <x:c r="F64" s="49" t="n">
        <x:v>0</x:v>
      </x:c>
      <x:c r="G64" s="49" t="n">
        <x:v>5425</x:v>
      </x:c>
      <x:c r="H64" s="50" t="n">
        <x:v>36.45</x:v>
      </x:c>
      <x:c r="I64" s="51" t="n">
        <x:f>IF(D64="USD",F64,F64/H64)</x:f>
        <x:v>0</x:v>
      </x:c>
      <x:c r="J64" s="51" t="n">
        <x:f>IF(D64="USD",G64,G64/H64)</x:f>
        <x:v>148.83401920438956</x:v>
      </x:c>
      <x:c r="K64" s="51" t="n">
        <x:f>J64-I64</x:f>
        <x:v>148.83401920438956</x:v>
      </x:c>
      <x:c r="L64" s="48" t="str">
        <x:v>Entrada</x:v>
      </x:c>
      <x:c r="M64" s="48" t="str">
        <x:v>Transferencia interna</x:v>
      </x:c>
      <x:c r="N64" s="48" t="str">
        <x:v>No es ingreso ni gasto</x:v>
      </x:c>
      <x:c r="O64" s="48" t="str">
        <x:v>Harrinton</x:v>
      </x:c>
      <x:c r="P64" s="48" t="str">
        <x:v>Agosto 2026</x:v>
      </x:c>
      <x:c r="Q64" s="52"/>
      <x:c r="R64" s="52" t="str">
        <x:v>Transferencia interna</x:v>
      </x:c>
      <x:c r="S64" s="52" t="str">
        <x:v>No es ingreso ni gasto</x:v>
      </x:c>
      <x:c r="T64" s="52" t="str">
        <x:v>Harrinton</x:v>
      </x:c>
      <x:c r="U64" s="52" t="str"/>
      <x:c r="V64" s="52"/>
      <x:c r="W64" s="52" t="str">
        <x:v>Revisado</x:v>
      </x:c>
      <x:c r="X64" s="53"/>
    </x:row>
    <x:row r="65" ht="30" customHeight="1">
      <x:c r="A65" s="45" t="n">
        <x:v>109</x:v>
      </x:c>
      <x:c r="B65" s="46" t="n">
        <x:v>46249.75</x:v>
      </x:c>
      <x:c r="C65" s="47" t="str">
        <x:v>NIO 39081312</x:v>
      </x:c>
      <x:c r="D65" s="47" t="str">
        <x:v>NIO</x:v>
      </x:c>
      <x:c r="E65" s="48" t="str">
        <x:v>Transferencia desde cuenta USD</x:v>
      </x:c>
      <x:c r="F65" s="49" t="n">
        <x:v>0</x:v>
      </x:c>
      <x:c r="G65" s="49" t="n">
        <x:v>5425</x:v>
      </x:c>
      <x:c r="H65" s="50" t="n">
        <x:v>36.45</x:v>
      </x:c>
      <x:c r="I65" s="51" t="n">
        <x:f>IF(D65="USD",F65,F65/H65)</x:f>
        <x:v>0</x:v>
      </x:c>
      <x:c r="J65" s="51" t="n">
        <x:f>IF(D65="USD",G65,G65/H65)</x:f>
        <x:v>148.83401920438956</x:v>
      </x:c>
      <x:c r="K65" s="51" t="n">
        <x:f>J65-I65</x:f>
        <x:v>148.83401920438956</x:v>
      </x:c>
      <x:c r="L65" s="48" t="str">
        <x:v>Entrada</x:v>
      </x:c>
      <x:c r="M65" s="48" t="str">
        <x:v>Transferencia interna</x:v>
      </x:c>
      <x:c r="N65" s="48" t="str">
        <x:v>No es ingreso ni gasto</x:v>
      </x:c>
      <x:c r="O65" s="48" t="str">
        <x:v>Harrinton</x:v>
      </x:c>
      <x:c r="P65" s="48" t="str">
        <x:v>Agosto 2026</x:v>
      </x:c>
      <x:c r="Q65" s="52"/>
      <x:c r="R65" s="52" t="str">
        <x:v>Transferencia interna</x:v>
      </x:c>
      <x:c r="S65" s="52" t="str">
        <x:v>No es ingreso ni gasto</x:v>
      </x:c>
      <x:c r="T65" s="52" t="str">
        <x:v>Harrinton</x:v>
      </x:c>
      <x:c r="U65" s="52" t="str"/>
      <x:c r="V65" s="52"/>
      <x:c r="W65" s="52" t="str">
        <x:v>Revisado</x:v>
      </x:c>
      <x:c r="X65" s="53"/>
    </x:row>
    <x:row r="66" ht="30" customHeight="1">
      <x:c r="A66" s="45" t="n">
        <x:v>37</x:v>
      </x:c>
      <x:c r="B66" s="46" t="n">
        <x:v>46249.75</x:v>
      </x:c>
      <x:c r="C66" s="47" t="str">
        <x:v>USD 34232261</x:v>
      </x:c>
      <x:c r="D66" s="47" t="str">
        <x:v>USD</x:v>
      </x:c>
      <x:c r="E66" s="48" t="str">
        <x:v>Retiro ATM El Rosario</x:v>
      </x:c>
      <x:c r="F66" s="49" t="n">
        <x:v>384.08</x:v>
      </x:c>
      <x:c r="G66" s="49" t="n">
        <x:v>0</x:v>
      </x:c>
      <x:c r="H66" s="50" t="n">
        <x:v>1</x:v>
      </x:c>
      <x:c r="I66" s="51" t="n">
        <x:f>IF(D66="USD",F66,F66/H66)</x:f>
        <x:v>384.08</x:v>
      </x:c>
      <x:c r="J66" s="51" t="n">
        <x:f>IF(D66="USD",G66,G66/H66)</x:f>
        <x:v>0</x:v>
      </x:c>
      <x:c r="K66" s="51" t="n">
        <x:f>J66-I66</x:f>
        <x:v>-384.08</x:v>
      </x:c>
      <x:c r="L66" s="48" t="str">
        <x:v>Salida</x:v>
      </x:c>
      <x:c r="M66" s="48" t="str">
        <x:v>Retiro para nomina</x:v>
      </x:c>
      <x:c r="N66" s="48" t="str">
        <x:v>Fondo por liquidar</x:v>
      </x:c>
      <x:c r="O66" s="48" t="str">
        <x:v>Nomina</x:v>
      </x:c>
      <x:c r="P66" s="48" t="str">
        <x:v>Agosto 2026</x:v>
      </x:c>
      <x:c r="Q66" s="52"/>
      <x:c r="R66" s="52" t="str">
        <x:v>Retiro para nomina</x:v>
      </x:c>
      <x:c r="S66" s="52" t="str">
        <x:v>Fondo por liquidar</x:v>
      </x:c>
      <x:c r="T66" s="52" t="str">
        <x:v>Nomina</x:v>
      </x:c>
      <x:c r="U66" s="52" t="str"/>
      <x:c r="V66" s="52"/>
      <x:c r="W66" s="52" t="str">
        <x:v>Pendiente</x:v>
      </x:c>
      <x:c r="X66" s="53"/>
    </x:row>
    <x:row r="67" ht="30" customHeight="1">
      <x:c r="A67" s="45" t="n">
        <x:v>38</x:v>
      </x:c>
      <x:c r="B67" s="46" t="n">
        <x:v>46249.75</x:v>
      </x:c>
      <x:c r="C67" s="47" t="str">
        <x:v>USD 34232261</x:v>
      </x:c>
      <x:c r="D67" s="47" t="str">
        <x:v>USD</x:v>
      </x:c>
      <x:c r="E67" s="48" t="str">
        <x:v>Comision retiro ATM</x:v>
      </x:c>
      <x:c r="F67" s="49" t="n">
        <x:v>0.03</x:v>
      </x:c>
      <x:c r="G67" s="49" t="n">
        <x:v>0</x:v>
      </x:c>
      <x:c r="H67" s="50" t="n">
        <x:v>1</x:v>
      </x:c>
      <x:c r="I67" s="51" t="n">
        <x:f>IF(D67="USD",F67,F67/H67)</x:f>
        <x:v>0.03</x:v>
      </x:c>
      <x:c r="J67" s="51" t="n">
        <x:f>IF(D67="USD",G67,G67/H67)</x:f>
        <x:v>0</x:v>
      </x:c>
      <x:c r="K67" s="51" t="n">
        <x:f>J67-I67</x:f>
        <x:v>-0.03</x:v>
      </x:c>
      <x:c r="L67" s="48" t="str">
        <x:v>Salida</x:v>
      </x:c>
      <x:c r="M67" s="48" t="str">
        <x:v>Comisiones bancarias</x:v>
      </x:c>
      <x:c r="N67" s="48" t="str">
        <x:v>Gasto empresarial</x:v>
      </x:c>
      <x:c r="O67" s="48" t="str">
        <x:v>Banco</x:v>
      </x:c>
      <x:c r="P67" s="48" t="str">
        <x:v>Agosto 2026</x:v>
      </x:c>
      <x:c r="Q67" s="52"/>
      <x:c r="R67" s="52" t="str">
        <x:v>Comisiones bancarias</x:v>
      </x:c>
      <x:c r="S67" s="52" t="str">
        <x:v>Gasto empresarial</x:v>
      </x:c>
      <x:c r="T67" s="52" t="str">
        <x:v>Banco</x:v>
      </x:c>
      <x:c r="U67" s="52" t="str"/>
      <x:c r="V67" s="52"/>
      <x:c r="W67" s="52" t="str">
        <x:v>Pendiente</x:v>
      </x:c>
      <x:c r="X67" s="53"/>
    </x:row>
    <x:row r="68" ht="30" customHeight="1">
      <x:c r="A68" s="45" t="n">
        <x:v>39</x:v>
      </x:c>
      <x:c r="B68" s="46" t="n">
        <x:v>46249.75</x:v>
      </x:c>
      <x:c r="C68" s="47" t="str">
        <x:v>USD 34232261</x:v>
      </x:c>
      <x:c r="D68" s="47" t="str">
        <x:v>USD</x:v>
      </x:c>
      <x:c r="E68" s="48" t="str">
        <x:v>Transferencia a cuenta NIO - nomina Harrinton</x:v>
      </x:c>
      <x:c r="F68" s="49" t="n">
        <x:v>148.83</x:v>
      </x:c>
      <x:c r="G68" s="49" t="n">
        <x:v>0</x:v>
      </x:c>
      <x:c r="H68" s="50" t="n">
        <x:v>1</x:v>
      </x:c>
      <x:c r="I68" s="51" t="n">
        <x:f>IF(D68="USD",F68,F68/H68)</x:f>
        <x:v>148.83</x:v>
      </x:c>
      <x:c r="J68" s="51" t="n">
        <x:f>IF(D68="USD",G68,G68/H68)</x:f>
        <x:v>0</x:v>
      </x:c>
      <x:c r="K68" s="51" t="n">
        <x:f>J68-I68</x:f>
        <x:v>-148.83</x:v>
      </x:c>
      <x:c r="L68" s="48" t="str">
        <x:v>Salida</x:v>
      </x:c>
      <x:c r="M68" s="48" t="str">
        <x:v>Transferencia interna</x:v>
      </x:c>
      <x:c r="N68" s="48" t="str">
        <x:v>No es ingreso ni gasto</x:v>
      </x:c>
      <x:c r="O68" s="48" t="str">
        <x:v>Harrinton</x:v>
      </x:c>
      <x:c r="P68" s="48" t="str">
        <x:v>Agosto 2026</x:v>
      </x:c>
      <x:c r="Q68" s="52"/>
      <x:c r="R68" s="52" t="str">
        <x:v>Transferencia interna</x:v>
      </x:c>
      <x:c r="S68" s="52" t="str">
        <x:v>No es ingreso ni gasto</x:v>
      </x:c>
      <x:c r="T68" s="52" t="str">
        <x:v>Harrinton</x:v>
      </x:c>
      <x:c r="U68" s="52" t="str"/>
      <x:c r="V68" s="52"/>
      <x:c r="W68" s="52" t="str">
        <x:v>Revisado</x:v>
      </x:c>
      <x:c r="X68" s="53"/>
    </x:row>
    <x:row r="69" ht="30" customHeight="1">
      <x:c r="A69" s="45" t="n">
        <x:v>40</x:v>
      </x:c>
      <x:c r="B69" s="46" t="n">
        <x:v>46249.75</x:v>
      </x:c>
      <x:c r="C69" s="47" t="str">
        <x:v>USD 34232261</x:v>
      </x:c>
      <x:c r="D69" s="47" t="str">
        <x:v>USD</x:v>
      </x:c>
      <x:c r="E69" s="48" t="str">
        <x:v>Transferencia a cuenta NIO - nomina Harrinton</x:v>
      </x:c>
      <x:c r="F69" s="49" t="n">
        <x:v>148.83</x:v>
      </x:c>
      <x:c r="G69" s="49" t="n">
        <x:v>0</x:v>
      </x:c>
      <x:c r="H69" s="50" t="n">
        <x:v>1</x:v>
      </x:c>
      <x:c r="I69" s="51" t="n">
        <x:f>IF(D69="USD",F69,F69/H69)</x:f>
        <x:v>148.83</x:v>
      </x:c>
      <x:c r="J69" s="51" t="n">
        <x:f>IF(D69="USD",G69,G69/H69)</x:f>
        <x:v>0</x:v>
      </x:c>
      <x:c r="K69" s="51" t="n">
        <x:f>J69-I69</x:f>
        <x:v>-148.83</x:v>
      </x:c>
      <x:c r="L69" s="48" t="str">
        <x:v>Salida</x:v>
      </x:c>
      <x:c r="M69" s="48" t="str">
        <x:v>Transferencia interna</x:v>
      </x:c>
      <x:c r="N69" s="48" t="str">
        <x:v>No es ingreso ni gasto</x:v>
      </x:c>
      <x:c r="O69" s="48" t="str">
        <x:v>Harrinton</x:v>
      </x:c>
      <x:c r="P69" s="48" t="str">
        <x:v>Agosto 2026</x:v>
      </x:c>
      <x:c r="Q69" s="52"/>
      <x:c r="R69" s="52" t="str">
        <x:v>Transferencia interna</x:v>
      </x:c>
      <x:c r="S69" s="52" t="str">
        <x:v>No es ingreso ni gasto</x:v>
      </x:c>
      <x:c r="T69" s="52" t="str">
        <x:v>Harrinton</x:v>
      </x:c>
      <x:c r="U69" s="52" t="str"/>
      <x:c r="V69" s="52"/>
      <x:c r="W69" s="52" t="str">
        <x:v>Revisado</x:v>
      </x:c>
      <x:c r="X69" s="53"/>
    </x:row>
    <x:row r="70" ht="30" customHeight="1">
      <x:c r="A70" s="45" t="n">
        <x:v>41</x:v>
      </x:c>
      <x:c r="B70" s="46" t="n">
        <x:v>46249.75</x:v>
      </x:c>
      <x:c r="C70" s="47" t="str">
        <x:v>USD 34232261</x:v>
      </x:c>
      <x:c r="D70" s="47" t="str">
        <x:v>USD</x:v>
      </x:c>
      <x:c r="E70" s="48" t="str">
        <x:v>Pago de nomina 15 de agosto</x:v>
      </x:c>
      <x:c r="F70" s="49" t="n">
        <x:v>148.15</x:v>
      </x:c>
      <x:c r="G70" s="49" t="n">
        <x:v>0</x:v>
      </x:c>
      <x:c r="H70" s="50" t="n">
        <x:v>1</x:v>
      </x:c>
      <x:c r="I70" s="51" t="n">
        <x:f>IF(D70="USD",F70,F70/H70)</x:f>
        <x:v>148.15</x:v>
      </x:c>
      <x:c r="J70" s="51" t="n">
        <x:f>IF(D70="USD",G70,G70/H70)</x:f>
        <x:v>0</x:v>
      </x:c>
      <x:c r="K70" s="51" t="n">
        <x:f>J70-I70</x:f>
        <x:v>-148.15</x:v>
      </x:c>
      <x:c r="L70" s="48" t="str">
        <x:v>Salida</x:v>
      </x:c>
      <x:c r="M70" s="48" t="str">
        <x:v>Nomina</x:v>
      </x:c>
      <x:c r="N70" s="48" t="str">
        <x:v>Gasto empresarial</x:v>
      </x:c>
      <x:c r="O70" s="48" t="str">
        <x:v>Aaron</x:v>
      </x:c>
      <x:c r="P70" s="48" t="str">
        <x:v>Agosto 2026</x:v>
      </x:c>
      <x:c r="Q70" s="52"/>
      <x:c r="R70" s="52" t="str">
        <x:v>Nomina</x:v>
      </x:c>
      <x:c r="S70" s="52" t="str">
        <x:v>Gasto empresarial</x:v>
      </x:c>
      <x:c r="T70" s="52" t="str">
        <x:v>Aaron</x:v>
      </x:c>
      <x:c r="U70" s="52" t="str"/>
      <x:c r="V70" s="52"/>
      <x:c r="W70" s="52" t="str">
        <x:v>Pendiente</x:v>
      </x:c>
      <x:c r="X70" s="53"/>
    </x:row>
    <x:row r="71" ht="30" customHeight="1">
      <x:c r="A71" s="45" t="n">
        <x:v>110</x:v>
      </x:c>
      <x:c r="B71" s="46" t="n">
        <x:v>46250.75</x:v>
      </x:c>
      <x:c r="C71" s="47" t="str">
        <x:v>NIO 39081312</x:v>
      </x:c>
      <x:c r="D71" s="47" t="str">
        <x:v>NIO</x:v>
      </x:c>
      <x:c r="E71" s="48" t="str">
        <x:v>Puma Santa Lucia</x:v>
      </x:c>
      <x:c r="F71" s="49" t="n">
        <x:v>200</x:v>
      </x:c>
      <x:c r="G71" s="49" t="n">
        <x:v>0</x:v>
      </x:c>
      <x:c r="H71" s="50" t="n">
        <x:v>36.45</x:v>
      </x:c>
      <x:c r="I71" s="51" t="n">
        <x:f>IF(D71="USD",F71,F71/H71)</x:f>
        <x:v>5.486968449931412</x:v>
      </x:c>
      <x:c r="J71" s="51" t="n">
        <x:f>IF(D71="USD",G71,G71/H71)</x:f>
        <x:v>0</x:v>
      </x:c>
      <x:c r="K71" s="51" t="n">
        <x:f>J71-I71</x:f>
        <x:v>-5.486968449931412</x:v>
      </x:c>
      <x:c r="L71" s="48" t="str">
        <x:v>Salida</x:v>
      </x:c>
      <x:c r="M71" s="48" t="str">
        <x:v>Combustible</x:v>
      </x:c>
      <x:c r="N71" s="48" t="str">
        <x:v>Gasto empresarial</x:v>
      </x:c>
      <x:c r="O71" s="48" t="str"/>
      <x:c r="P71" s="48" t="str">
        <x:v>Agosto 2026</x:v>
      </x:c>
      <x:c r="Q71" s="52"/>
      <x:c r="R71" s="52" t="str">
        <x:v>Combustible</x:v>
      </x:c>
      <x:c r="S71" s="52" t="str">
        <x:v>Gasto empresarial</x:v>
      </x:c>
      <x:c r="T71" s="52" t="str"/>
      <x:c r="U71" s="52" t="str"/>
      <x:c r="V71" s="52"/>
      <x:c r="W71" s="52" t="str">
        <x:v>Pendiente</x:v>
      </x:c>
      <x:c r="X71" s="53"/>
    </x:row>
    <x:row r="72" ht="30" customHeight="1">
      <x:c r="A72" s="45" t="n">
        <x:v>42</x:v>
      </x:c>
      <x:c r="B72" s="46" t="n">
        <x:v>46250.75</x:v>
      </x:c>
      <x:c r="C72" s="47" t="str">
        <x:v>USD 34232261</x:v>
      </x:c>
      <x:c r="D72" s="47" t="str">
        <x:v>USD</x:v>
      </x:c>
      <x:c r="E72" s="48" t="str">
        <x:v>Mr Vinks</x:v>
      </x:c>
      <x:c r="F72" s="49" t="n">
        <x:v>18.65</x:v>
      </x:c>
      <x:c r="G72" s="49" t="n">
        <x:v>0</x:v>
      </x:c>
      <x:c r="H72" s="50" t="n">
        <x:v>1</x:v>
      </x:c>
      <x:c r="I72" s="51" t="n">
        <x:f>IF(D72="USD",F72,F72/H72)</x:f>
        <x:v>18.65</x:v>
      </x:c>
      <x:c r="J72" s="51" t="n">
        <x:f>IF(D72="USD",G72,G72/H72)</x:f>
        <x:v>0</x:v>
      </x:c>
      <x:c r="K72" s="51" t="n">
        <x:f>J72-I72</x:f>
        <x:v>-18.65</x:v>
      </x:c>
      <x:c r="L72" s="48" t="str">
        <x:v>Salida</x:v>
      </x:c>
      <x:c r="M72" s="48" t="str">
        <x:v>Consumo personal</x:v>
      </x:c>
      <x:c r="N72" s="48" t="str">
        <x:v>Recuperable/personal</x:v>
      </x:c>
      <x:c r="O72" s="48" t="str">
        <x:v>Harrinton</x:v>
      </x:c>
      <x:c r="P72" s="48" t="str">
        <x:v>Agosto 2026</x:v>
      </x:c>
      <x:c r="Q72" s="52"/>
      <x:c r="R72" s="52" t="str">
        <x:v>Consumo personal</x:v>
      </x:c>
      <x:c r="S72" s="52" t="str">
        <x:v>Recuperable/personal</x:v>
      </x:c>
      <x:c r="T72" s="52" t="str">
        <x:v>Harrinton</x:v>
      </x:c>
      <x:c r="U72" s="52" t="str"/>
      <x:c r="V72" s="52"/>
      <x:c r="W72" s="52" t="str">
        <x:v>Pendiente</x:v>
      </x:c>
      <x:c r="X72" s="53"/>
    </x:row>
    <x:row r="73" ht="30" customHeight="1">
      <x:c r="A73" s="45" t="n">
        <x:v>43</x:v>
      </x:c>
      <x:c r="B73" s="46" t="n">
        <x:v>46250.75</x:v>
      </x:c>
      <x:c r="C73" s="47" t="str">
        <x:v>USD 34232261</x:v>
      </x:c>
      <x:c r="D73" s="47" t="str">
        <x:v>USD</x:v>
      </x:c>
      <x:c r="E73" s="48" t="str">
        <x:v>Mr Vinks</x:v>
      </x:c>
      <x:c r="F73" s="49" t="n">
        <x:v>5.48</x:v>
      </x:c>
      <x:c r="G73" s="49" t="n">
        <x:v>0</x:v>
      </x:c>
      <x:c r="H73" s="50" t="n">
        <x:v>1</x:v>
      </x:c>
      <x:c r="I73" s="51" t="n">
        <x:f>IF(D73="USD",F73,F73/H73)</x:f>
        <x:v>5.48</x:v>
      </x:c>
      <x:c r="J73" s="51" t="n">
        <x:f>IF(D73="USD",G73,G73/H73)</x:f>
        <x:v>0</x:v>
      </x:c>
      <x:c r="K73" s="51" t="n">
        <x:f>J73-I73</x:f>
        <x:v>-5.48</x:v>
      </x:c>
      <x:c r="L73" s="48" t="str">
        <x:v>Salida</x:v>
      </x:c>
      <x:c r="M73" s="48" t="str">
        <x:v>Consumo personal</x:v>
      </x:c>
      <x:c r="N73" s="48" t="str">
        <x:v>Recuperable/personal</x:v>
      </x:c>
      <x:c r="O73" s="48" t="str">
        <x:v>Harrinton</x:v>
      </x:c>
      <x:c r="P73" s="48" t="str">
        <x:v>Agosto 2026</x:v>
      </x:c>
      <x:c r="Q73" s="52"/>
      <x:c r="R73" s="52" t="str">
        <x:v>Consumo personal</x:v>
      </x:c>
      <x:c r="S73" s="52" t="str">
        <x:v>Recuperable/personal</x:v>
      </x:c>
      <x:c r="T73" s="52" t="str">
        <x:v>Harrinton</x:v>
      </x:c>
      <x:c r="U73" s="52" t="str"/>
      <x:c r="V73" s="52"/>
      <x:c r="W73" s="52" t="str">
        <x:v>Pendiente</x:v>
      </x:c>
      <x:c r="X73" s="53"/>
    </x:row>
    <x:row r="74" ht="30" customHeight="1">
      <x:c r="A74" s="45" t="n">
        <x:v>111</x:v>
      </x:c>
      <x:c r="B74" s="46" t="n">
        <x:v>46251.75</x:v>
      </x:c>
      <x:c r="C74" s="47" t="str">
        <x:v>NIO 39081312</x:v>
      </x:c>
      <x:c r="D74" s="47" t="str">
        <x:v>NIO</x:v>
      </x:c>
      <x:c r="E74" s="48" t="str">
        <x:v>Cargo por saldo menor al limite</x:v>
      </x:c>
      <x:c r="F74" s="49" t="n">
        <x:v>150</x:v>
      </x:c>
      <x:c r="G74" s="49" t="n">
        <x:v>0</x:v>
      </x:c>
      <x:c r="H74" s="50" t="n">
        <x:v>36.45</x:v>
      </x:c>
      <x:c r="I74" s="51" t="n">
        <x:f>IF(D74="USD",F74,F74/H74)</x:f>
        <x:v>4.11522633744856</x:v>
      </x:c>
      <x:c r="J74" s="51" t="n">
        <x:f>IF(D74="USD",G74,G74/H74)</x:f>
        <x:v>0</x:v>
      </x:c>
      <x:c r="K74" s="51" t="n">
        <x:f>J74-I74</x:f>
        <x:v>-4.11522633744856</x:v>
      </x:c>
      <x:c r="L74" s="48" t="str">
        <x:v>Salida</x:v>
      </x:c>
      <x:c r="M74" s="48" t="str">
        <x:v>Comisiones bancarias</x:v>
      </x:c>
      <x:c r="N74" s="48" t="str">
        <x:v>Gasto empresarial</x:v>
      </x:c>
      <x:c r="O74" s="48" t="str">
        <x:v>Banco</x:v>
      </x:c>
      <x:c r="P74" s="48" t="str">
        <x:v>Agosto 2026</x:v>
      </x:c>
      <x:c r="Q74" s="52"/>
      <x:c r="R74" s="52" t="str">
        <x:v>Comisiones bancarias</x:v>
      </x:c>
      <x:c r="S74" s="52" t="str">
        <x:v>Gasto empresarial</x:v>
      </x:c>
      <x:c r="T74" s="52" t="str">
        <x:v>Banco</x:v>
      </x:c>
      <x:c r="U74" s="52" t="str"/>
      <x:c r="V74" s="52"/>
      <x:c r="W74" s="52" t="str">
        <x:v>Pendiente</x:v>
      </x:c>
      <x:c r="X74" s="53"/>
    </x:row>
    <x:row r="75" ht="30" customHeight="1">
      <x:c r="A75" s="45" t="n">
        <x:v>112</x:v>
      </x:c>
      <x:c r="B75" s="46" t="n">
        <x:v>46251.75</x:v>
      </x:c>
      <x:c r="C75" s="47" t="str">
        <x:v>NIO 39081312</x:v>
      </x:c>
      <x:c r="D75" s="47" t="str">
        <x:v>NIO</x:v>
      </x:c>
      <x:c r="E75" s="48" t="str">
        <x:v>Intereses</x:v>
      </x:c>
      <x:c r="F75" s="49" t="n">
        <x:v>0</x:v>
      </x:c>
      <x:c r="G75" s="49" t="n">
        <x:v>0.05</x:v>
      </x:c>
      <x:c r="H75" s="50" t="n">
        <x:v>36.45</x:v>
      </x:c>
      <x:c r="I75" s="51" t="n">
        <x:f>IF(D75="USD",F75,F75/H75)</x:f>
        <x:v>0</x:v>
      </x:c>
      <x:c r="J75" s="51" t="n">
        <x:f>IF(D75="USD",G75,G75/H75)</x:f>
        <x:v>0.0013717421124828531</x:v>
      </x:c>
      <x:c r="K75" s="51" t="n">
        <x:f>J75-I75</x:f>
        <x:v>0.0013717421124828531</x:v>
      </x:c>
      <x:c r="L75" s="48" t="str">
        <x:v>Entrada</x:v>
      </x:c>
      <x:c r="M75" s="48" t="str">
        <x:v>Intereses bancarios</x:v>
      </x:c>
      <x:c r="N75" s="48" t="str">
        <x:v>Ingreso financiero</x:v>
      </x:c>
      <x:c r="O75" s="48" t="str">
        <x:v>Banco</x:v>
      </x:c>
      <x:c r="P75" s="48" t="str">
        <x:v>Agosto 2026</x:v>
      </x:c>
      <x:c r="Q75" s="52"/>
      <x:c r="R75" s="52" t="str">
        <x:v>Intereses bancarios</x:v>
      </x:c>
      <x:c r="S75" s="52" t="str">
        <x:v>Ingreso financiero</x:v>
      </x:c>
      <x:c r="T75" s="52" t="str">
        <x:v>Banco</x:v>
      </x:c>
      <x:c r="U75" s="52" t="str"/>
      <x:c r="V75" s="52"/>
      <x:c r="W75" s="52" t="str">
        <x:v>Revisado</x:v>
      </x:c>
      <x:c r="X75" s="53"/>
    </x:row>
    <x:row r="76" ht="30" customHeight="1">
      <x:c r="A76" s="45" t="n">
        <x:v>44</x:v>
      </x:c>
      <x:c r="B76" s="46" t="n">
        <x:v>46251.75</x:v>
      </x:c>
      <x:c r="C76" s="47" t="str">
        <x:v>USD 34232261</x:v>
      </x:c>
      <x:c r="D76" s="47" t="str">
        <x:v>USD</x:v>
      </x:c>
      <x:c r="E76" s="48" t="str">
        <x:v>Envio a Brayan</x:v>
      </x:c>
      <x:c r="F76" s="49" t="n">
        <x:v>40</x:v>
      </x:c>
      <x:c r="G76" s="49" t="n">
        <x:v>0</x:v>
      </x:c>
      <x:c r="H76" s="50" t="n">
        <x:v>1</x:v>
      </x:c>
      <x:c r="I76" s="51" t="n">
        <x:f>IF(D76="USD",F76,F76/H76)</x:f>
        <x:v>40</x:v>
      </x:c>
      <x:c r="J76" s="51" t="n">
        <x:f>IF(D76="USD",G76,G76/H76)</x:f>
        <x:v>0</x:v>
      </x:c>
      <x:c r="K76" s="51" t="n">
        <x:f>J76-I76</x:f>
        <x:v>-40</x:v>
      </x:c>
      <x:c r="L76" s="48" t="str">
        <x:v>Salida</x:v>
      </x:c>
      <x:c r="M76" s="48" t="str">
        <x:v>Equipos de proyecto</x:v>
      </x:c>
      <x:c r="N76" s="48" t="str">
        <x:v>Gasto empresarial</x:v>
      </x:c>
      <x:c r="O76" s="48" t="str">
        <x:v>Brayan</x:v>
      </x:c>
      <x:c r="P76" s="48" t="str">
        <x:v>Agosto 2026</x:v>
      </x:c>
      <x:c r="Q76" s="52"/>
      <x:c r="R76" s="52" t="str">
        <x:v>Equipos de proyecto</x:v>
      </x:c>
      <x:c r="S76" s="52" t="str">
        <x:v>Gasto empresarial</x:v>
      </x:c>
      <x:c r="T76" s="52" t="str">
        <x:v>Brayan</x:v>
      </x:c>
      <x:c r="U76" s="52" t="str">
        <x:v>Don Ramiro Ramirez</x:v>
      </x:c>
      <x:c r="V76" s="52"/>
      <x:c r="W76" s="52" t="str">
        <x:v>Pendiente</x:v>
      </x:c>
      <x:c r="X76" s="53"/>
    </x:row>
    <x:row r="77" ht="30" customHeight="1">
      <x:c r="A77" s="45" t="n">
        <x:v>45</x:v>
      </x:c>
      <x:c r="B77" s="46" t="n">
        <x:v>46251.75</x:v>
      </x:c>
      <x:c r="C77" s="47" t="str">
        <x:v>USD 34232261</x:v>
      </x:c>
      <x:c r="D77" s="47" t="str">
        <x:v>USD</x:v>
      </x:c>
      <x:c r="E77" s="48" t="str">
        <x:v>Envio a Jairo</x:v>
      </x:c>
      <x:c r="F77" s="49" t="n">
        <x:v>70</x:v>
      </x:c>
      <x:c r="G77" s="49" t="n">
        <x:v>0</x:v>
      </x:c>
      <x:c r="H77" s="50" t="n">
        <x:v>1</x:v>
      </x:c>
      <x:c r="I77" s="51" t="n">
        <x:f>IF(D77="USD",F77,F77/H77)</x:f>
        <x:v>70</x:v>
      </x:c>
      <x:c r="J77" s="51" t="n">
        <x:f>IF(D77="USD",G77,G77/H77)</x:f>
        <x:v>0</x:v>
      </x:c>
      <x:c r="K77" s="51" t="n">
        <x:f>J77-I77</x:f>
        <x:v>-70</x:v>
      </x:c>
      <x:c r="L77" s="48" t="str">
        <x:v>Salida</x:v>
      </x:c>
      <x:c r="M77" s="48" t="str">
        <x:v>Combustible y viaticos</x:v>
      </x:c>
      <x:c r="N77" s="48" t="str">
        <x:v>Gasto empresarial</x:v>
      </x:c>
      <x:c r="O77" s="48" t="str">
        <x:v>Jairo</x:v>
      </x:c>
      <x:c r="P77" s="48" t="str">
        <x:v>Agosto 2026</x:v>
      </x:c>
      <x:c r="Q77" s="52"/>
      <x:c r="R77" s="52" t="str">
        <x:v>Combustible y viaticos</x:v>
      </x:c>
      <x:c r="S77" s="52" t="str">
        <x:v>Gasto empresarial</x:v>
      </x:c>
      <x:c r="T77" s="52" t="str">
        <x:v>Jairo</x:v>
      </x:c>
      <x:c r="U77" s="52" t="str">
        <x:v>US$50 combustible + US$20 viatico</x:v>
      </x:c>
      <x:c r="V77" s="52"/>
      <x:c r="W77" s="52" t="str">
        <x:v>Pendiente</x:v>
      </x:c>
      <x:c r="X77" s="53"/>
    </x:row>
    <x:row r="78" ht="30" customHeight="1">
      <x:c r="A78" s="45" t="n">
        <x:v>46</x:v>
      </x:c>
      <x:c r="B78" s="46" t="n">
        <x:v>46251.75</x:v>
      </x:c>
      <x:c r="C78" s="47" t="str">
        <x:v>USD 34232261</x:v>
      </x:c>
      <x:c r="D78" s="47" t="str">
        <x:v>USD</x:v>
      </x:c>
      <x:c r="E78" s="48" t="str">
        <x:v>FS137 Esteli</x:v>
      </x:c>
      <x:c r="F78" s="49" t="n">
        <x:v>36.36</x:v>
      </x:c>
      <x:c r="G78" s="49" t="n">
        <x:v>0</x:v>
      </x:c>
      <x:c r="H78" s="50" t="n">
        <x:v>1</x:v>
      </x:c>
      <x:c r="I78" s="51" t="n">
        <x:f>IF(D78="USD",F78,F78/H78)</x:f>
        <x:v>36.36</x:v>
      </x:c>
      <x:c r="J78" s="51" t="n">
        <x:f>IF(D78="USD",G78,G78/H78)</x:f>
        <x:v>0</x:v>
      </x:c>
      <x:c r="K78" s="51" t="n">
        <x:f>J78-I78</x:f>
        <x:v>-36.36</x:v>
      </x:c>
      <x:c r="L78" s="48" t="str">
        <x:v>Salida</x:v>
      </x:c>
      <x:c r="M78" s="48" t="str">
        <x:v>Combustible</x:v>
      </x:c>
      <x:c r="N78" s="48" t="str">
        <x:v>Gasto empresarial</x:v>
      </x:c>
      <x:c r="O78" s="48" t="str"/>
      <x:c r="P78" s="48" t="str">
        <x:v>Agosto 2026</x:v>
      </x:c>
      <x:c r="Q78" s="52"/>
      <x:c r="R78" s="52" t="str">
        <x:v>Combustible</x:v>
      </x:c>
      <x:c r="S78" s="52" t="str">
        <x:v>Gasto empresarial</x:v>
      </x:c>
      <x:c r="T78" s="52" t="str"/>
      <x:c r="U78" s="52" t="str"/>
      <x:c r="V78" s="52"/>
      <x:c r="W78" s="52" t="str">
        <x:v>Pendiente</x:v>
      </x:c>
      <x:c r="X78" s="53"/>
    </x:row>
    <x:row r="79" ht="30" customHeight="1">
      <x:c r="A79" s="45" t="n">
        <x:v>47</x:v>
      </x:c>
      <x:c r="B79" s="46" t="n">
        <x:v>46251.75</x:v>
      </x:c>
      <x:c r="C79" s="47" t="str">
        <x:v>USD 34232261</x:v>
      </x:c>
      <x:c r="D79" s="47" t="str">
        <x:v>USD</x:v>
      </x:c>
      <x:c r="E79" s="48" t="str">
        <x:v>Miscelanea Buen Precio</x:v>
      </x:c>
      <x:c r="F79" s="49" t="n">
        <x:v>3.7</x:v>
      </x:c>
      <x:c r="G79" s="49" t="n">
        <x:v>0</x:v>
      </x:c>
      <x:c r="H79" s="50" t="n">
        <x:v>1</x:v>
      </x:c>
      <x:c r="I79" s="51" t="n">
        <x:f>IF(D79="USD",F79,F79/H79)</x:f>
        <x:v>3.7</x:v>
      </x:c>
      <x:c r="J79" s="51" t="n">
        <x:f>IF(D79="USD",G79,G79/H79)</x:f>
        <x:v>0</x:v>
      </x:c>
      <x:c r="K79" s="51" t="n">
        <x:f>J79-I79</x:f>
        <x:v>-3.7</x:v>
      </x:c>
      <x:c r="L79" s="48" t="str">
        <x:v>Salida</x:v>
      </x:c>
      <x:c r="M79" s="48" t="str">
        <x:v>Consumo personal</x:v>
      </x:c>
      <x:c r="N79" s="48" t="str">
        <x:v>Recuperable/personal</x:v>
      </x:c>
      <x:c r="O79" s="48" t="str">
        <x:v>Harrinton</x:v>
      </x:c>
      <x:c r="P79" s="48" t="str">
        <x:v>Agosto 2026</x:v>
      </x:c>
      <x:c r="Q79" s="52"/>
      <x:c r="R79" s="52" t="str">
        <x:v>Consumo personal</x:v>
      </x:c>
      <x:c r="S79" s="52" t="str">
        <x:v>Recuperable/personal</x:v>
      </x:c>
      <x:c r="T79" s="52" t="str">
        <x:v>Harrinton</x:v>
      </x:c>
      <x:c r="U79" s="52" t="str"/>
      <x:c r="V79" s="52"/>
      <x:c r="W79" s="52" t="str">
        <x:v>Pendiente</x:v>
      </x:c>
      <x:c r="X79" s="53"/>
    </x:row>
    <x:row r="80" ht="30" customHeight="1">
      <x:c r="A80" s="45" t="n">
        <x:v>48</x:v>
      </x:c>
      <x:c r="B80" s="46" t="n">
        <x:v>46251.75</x:v>
      </x:c>
      <x:c r="C80" s="47" t="str">
        <x:v>USD 34232261</x:v>
      </x:c>
      <x:c r="D80" s="47" t="str">
        <x:v>USD</x:v>
      </x:c>
      <x:c r="E80" s="48" t="str">
        <x:v>Intereses</x:v>
      </x:c>
      <x:c r="F80" s="49" t="n">
        <x:v>0</x:v>
      </x:c>
      <x:c r="G80" s="49" t="n">
        <x:v>0.18</x:v>
      </x:c>
      <x:c r="H80" s="50" t="n">
        <x:v>1</x:v>
      </x:c>
      <x:c r="I80" s="51" t="n">
        <x:f>IF(D80="USD",F80,F80/H80)</x:f>
        <x:v>0</x:v>
      </x:c>
      <x:c r="J80" s="51" t="n">
        <x:f>IF(D80="USD",G80,G80/H80)</x:f>
        <x:v>0.18</x:v>
      </x:c>
      <x:c r="K80" s="51" t="n">
        <x:f>J80-I80</x:f>
        <x:v>0.18</x:v>
      </x:c>
      <x:c r="L80" s="48" t="str">
        <x:v>Entrada</x:v>
      </x:c>
      <x:c r="M80" s="48" t="str">
        <x:v>Intereses bancarios</x:v>
      </x:c>
      <x:c r="N80" s="48" t="str">
        <x:v>Ingreso financiero</x:v>
      </x:c>
      <x:c r="O80" s="48" t="str">
        <x:v>Banco</x:v>
      </x:c>
      <x:c r="P80" s="48" t="str">
        <x:v>Agosto 2026</x:v>
      </x:c>
      <x:c r="Q80" s="52"/>
      <x:c r="R80" s="52" t="str">
        <x:v>Intereses bancarios</x:v>
      </x:c>
      <x:c r="S80" s="52" t="str">
        <x:v>Ingreso financiero</x:v>
      </x:c>
      <x:c r="T80" s="52" t="str">
        <x:v>Banco</x:v>
      </x:c>
      <x:c r="U80" s="52" t="str"/>
      <x:c r="V80" s="52"/>
      <x:c r="W80" s="52" t="str">
        <x:v>Revisado</x:v>
      </x:c>
      <x:c r="X80" s="53"/>
    </x:row>
    <x:row r="81" ht="30" customHeight="1">
      <x:c r="A81" s="45" t="n">
        <x:v>49</x:v>
      </x:c>
      <x:c r="B81" s="46" t="n">
        <x:v>46251.75</x:v>
      </x:c>
      <x:c r="C81" s="47" t="str">
        <x:v>USD 34232261</x:v>
      </x:c>
      <x:c r="D81" s="47" t="str">
        <x:v>USD</x:v>
      </x:c>
      <x:c r="E81" s="48" t="str">
        <x:v>Retencion de intereses</x:v>
      </x:c>
      <x:c r="F81" s="49" t="n">
        <x:v>0.02</x:v>
      </x:c>
      <x:c r="G81" s="49" t="n">
        <x:v>0</x:v>
      </x:c>
      <x:c r="H81" s="50" t="n">
        <x:v>1</x:v>
      </x:c>
      <x:c r="I81" s="51" t="n">
        <x:f>IF(D81="USD",F81,F81/H81)</x:f>
        <x:v>0.02</x:v>
      </x:c>
      <x:c r="J81" s="51" t="n">
        <x:f>IF(D81="USD",G81,G81/H81)</x:f>
        <x:v>0</x:v>
      </x:c>
      <x:c r="K81" s="51" t="n">
        <x:f>J81-I81</x:f>
        <x:v>-0.02</x:v>
      </x:c>
      <x:c r="L81" s="48" t="str">
        <x:v>Salida</x:v>
      </x:c>
      <x:c r="M81" s="48" t="str">
        <x:v>Comisiones e impuestos bancarios</x:v>
      </x:c>
      <x:c r="N81" s="48" t="str">
        <x:v>Gasto empresarial</x:v>
      </x:c>
      <x:c r="O81" s="48" t="str">
        <x:v>Banco</x:v>
      </x:c>
      <x:c r="P81" s="48" t="str">
        <x:v>Agosto 2026</x:v>
      </x:c>
      <x:c r="Q81" s="52"/>
      <x:c r="R81" s="52" t="str">
        <x:v>Comisiones e impuestos bancarios</x:v>
      </x:c>
      <x:c r="S81" s="52" t="str">
        <x:v>Gasto empresarial</x:v>
      </x:c>
      <x:c r="T81" s="52" t="str">
        <x:v>Banco</x:v>
      </x:c>
      <x:c r="U81" s="52" t="str"/>
      <x:c r="V81" s="52"/>
      <x:c r="W81" s="52" t="str">
        <x:v>Pendiente</x:v>
      </x:c>
      <x:c r="X81" s="53"/>
    </x:row>
    <x:row r="82" ht="30" customHeight="1">
      <x:c r="A82" s="45" t="n">
        <x:v>50</x:v>
      </x:c>
      <x:c r="B82" s="46" t="n">
        <x:v>46252.75</x:v>
      </x:c>
      <x:c r="C82" s="47" t="str">
        <x:v>USD 34232261</x:v>
      </x:c>
      <x:c r="D82" s="47" t="str">
        <x:v>USD</x:v>
      </x:c>
      <x:c r="E82" s="48" t="str">
        <x:v>Envio a Jairo</x:v>
      </x:c>
      <x:c r="F82" s="49" t="n">
        <x:v>760</x:v>
      </x:c>
      <x:c r="G82" s="49" t="n">
        <x:v>0</x:v>
      </x:c>
      <x:c r="H82" s="50" t="n">
        <x:v>1</x:v>
      </x:c>
      <x:c r="I82" s="51" t="n">
        <x:f>IF(D82="USD",F82,F82/H82)</x:f>
        <x:v>760</x:v>
      </x:c>
      <x:c r="J82" s="51" t="n">
        <x:f>IF(D82="USD",G82,G82/H82)</x:f>
        <x:v>0</x:v>
      </x:c>
      <x:c r="K82" s="51" t="n">
        <x:f>J82-I82</x:f>
        <x:v>-760</x:v>
      </x:c>
      <x:c r="L82" s="48" t="str">
        <x:v>Salida</x:v>
      </x:c>
      <x:c r="M82" s="48" t="str">
        <x:v>Anticipo mantenimiento vehiculo</x:v>
      </x:c>
      <x:c r="N82" s="48" t="str">
        <x:v>Fondo por liquidar</x:v>
      </x:c>
      <x:c r="O82" s="48" t="str">
        <x:v>Jairo</x:v>
      </x:c>
      <x:c r="P82" s="48" t="str">
        <x:v>Agosto 2026</x:v>
      </x:c>
      <x:c r="Q82" s="52"/>
      <x:c r="R82" s="52" t="str">
        <x:v>Anticipo mantenimiento vehiculo</x:v>
      </x:c>
      <x:c r="S82" s="52" t="str">
        <x:v>Fondo por liquidar</x:v>
      </x:c>
      <x:c r="T82" s="52" t="str">
        <x:v>Jairo</x:v>
      </x:c>
      <x:c r="U82" s="52" t="str">
        <x:v>Camioneta Northlink</x:v>
      </x:c>
      <x:c r="V82" s="52"/>
      <x:c r="W82" s="52" t="str">
        <x:v>Pendiente</x:v>
      </x:c>
      <x:c r="X82" s="53"/>
    </x:row>
    <x:row r="83" ht="30" customHeight="1">
      <x:c r="A83" s="45" t="n">
        <x:v>51</x:v>
      </x:c>
      <x:c r="B83" s="46" t="n">
        <x:v>46252.75</x:v>
      </x:c>
      <x:c r="C83" s="47" t="str">
        <x:v>USD 34232261</x:v>
      </x:c>
      <x:c r="D83" s="47" t="str">
        <x:v>USD</x:v>
      </x:c>
      <x:c r="E83" s="48" t="str">
        <x:v>Jul 2026</x:v>
      </x:c>
      <x:c r="F83" s="49" t="n">
        <x:v>8.43</x:v>
      </x:c>
      <x:c r="G83" s="49" t="n">
        <x:v>0</x:v>
      </x:c>
      <x:c r="H83" s="50" t="n">
        <x:v>1</x:v>
      </x:c>
      <x:c r="I83" s="51" t="n">
        <x:f>IF(D83="USD",F83,F83/H83)</x:f>
        <x:v>8.43</x:v>
      </x:c>
      <x:c r="J83" s="51" t="n">
        <x:f>IF(D83="USD",G83,G83/H83)</x:f>
        <x:v>0</x:v>
      </x:c>
      <x:c r="K83" s="51" t="n">
        <x:f>J83-I83</x:f>
        <x:v>-8.43</x:v>
      </x:c>
      <x:c r="L83" s="48" t="str">
        <x:v>Salida</x:v>
      </x:c>
      <x:c r="M83" s="48" t="str">
        <x:v>Servicio sin identificar</x:v>
      </x:c>
      <x:c r="N83" s="48" t="str">
        <x:v>Pendiente</x:v>
      </x:c>
      <x:c r="O83" s="48" t="str">
        <x:v>Harrinton</x:v>
      </x:c>
      <x:c r="P83" s="48" t="str">
        <x:v>Julio 2026</x:v>
      </x:c>
      <x:c r="Q83" s="52"/>
      <x:c r="R83" s="52" t="str">
        <x:v>Servicio sin identificar</x:v>
      </x:c>
      <x:c r="S83" s="52" t="str">
        <x:v>Pendiente</x:v>
      </x:c>
      <x:c r="T83" s="52" t="str">
        <x:v>Harrinton</x:v>
      </x:c>
      <x:c r="U83" s="52" t="str"/>
      <x:c r="V83" s="52"/>
      <x:c r="W83" s="52" t="str">
        <x:v>Pendiente</x:v>
      </x:c>
      <x:c r="X83" s="53"/>
    </x:row>
    <x:row r="84" ht="30" customHeight="1">
      <x:c r="A84" s="45" t="n">
        <x:v>52</x:v>
      </x:c>
      <x:c r="B84" s="46" t="n">
        <x:v>46252.75</x:v>
      </x:c>
      <x:c r="C84" s="47" t="str">
        <x:v>USD 34232261</x:v>
      </x:c>
      <x:c r="D84" s="47" t="str">
        <x:v>USD</x:v>
      </x:c>
      <x:c r="E84" s="48" t="str">
        <x:v>Envio a Yamileth</x:v>
      </x:c>
      <x:c r="F84" s="49" t="n">
        <x:v>120</x:v>
      </x:c>
      <x:c r="G84" s="49" t="n">
        <x:v>0</x:v>
      </x:c>
      <x:c r="H84" s="50" t="n">
        <x:v>1</x:v>
      </x:c>
      <x:c r="I84" s="51" t="n">
        <x:f>IF(D84="USD",F84,F84/H84)</x:f>
        <x:v>120</x:v>
      </x:c>
      <x:c r="J84" s="51" t="n">
        <x:f>IF(D84="USD",G84,G84/H84)</x:f>
        <x:v>0</x:v>
      </x:c>
      <x:c r="K84" s="51" t="n">
        <x:f>J84-I84</x:f>
        <x:v>-120</x:v>
      </x:c>
      <x:c r="L84" s="48" t="str">
        <x:v>Salida</x:v>
      </x:c>
      <x:c r="M84" s="48" t="str">
        <x:v>Consumo personal</x:v>
      </x:c>
      <x:c r="N84" s="48" t="str">
        <x:v>Recuperable/personal</x:v>
      </x:c>
      <x:c r="O84" s="48" t="str">
        <x:v>Harrinton</x:v>
      </x:c>
      <x:c r="P84" s="48" t="str">
        <x:v>Agosto 2026</x:v>
      </x:c>
      <x:c r="Q84" s="52"/>
      <x:c r="R84" s="52" t="str">
        <x:v>Consumo personal</x:v>
      </x:c>
      <x:c r="S84" s="52" t="str">
        <x:v>Recuperable/personal</x:v>
      </x:c>
      <x:c r="T84" s="52" t="str">
        <x:v>Harrinton</x:v>
      </x:c>
      <x:c r="U84" s="52" t="str"/>
      <x:c r="V84" s="52"/>
      <x:c r="W84" s="52" t="str">
        <x:v>Pendiente</x:v>
      </x:c>
      <x:c r="X84" s="53"/>
    </x:row>
    <x:row r="85" ht="30" customHeight="1">
      <x:c r="A85" s="45" t="n">
        <x:v>53</x:v>
      </x:c>
      <x:c r="B85" s="46" t="n">
        <x:v>46252.75</x:v>
      </x:c>
      <x:c r="C85" s="47" t="str">
        <x:v>USD 34232261</x:v>
      </x:c>
      <x:c r="D85" s="47" t="str">
        <x:v>USD</x:v>
      </x:c>
      <x:c r="E85" s="48" t="str">
        <x:v>Envio a Jose</x:v>
      </x:c>
      <x:c r="F85" s="49" t="n">
        <x:v>35</x:v>
      </x:c>
      <x:c r="G85" s="49" t="n">
        <x:v>0</x:v>
      </x:c>
      <x:c r="H85" s="50" t="n">
        <x:v>1</x:v>
      </x:c>
      <x:c r="I85" s="51" t="n">
        <x:f>IF(D85="USD",F85,F85/H85)</x:f>
        <x:v>35</x:v>
      </x:c>
      <x:c r="J85" s="51" t="n">
        <x:f>IF(D85="USD",G85,G85/H85)</x:f>
        <x:v>0</x:v>
      </x:c>
      <x:c r="K85" s="51" t="n">
        <x:f>J85-I85</x:f>
        <x:v>-35</x:v>
      </x:c>
      <x:c r="L85" s="48" t="str">
        <x:v>Salida</x:v>
      </x:c>
      <x:c r="M85" s="48" t="str">
        <x:v>Viaticos</x:v>
      </x:c>
      <x:c r="N85" s="48" t="str">
        <x:v>Gasto empresarial</x:v>
      </x:c>
      <x:c r="O85" s="48" t="str">
        <x:v>Jose</x:v>
      </x:c>
      <x:c r="P85" s="48" t="str">
        <x:v>Agosto 2026</x:v>
      </x:c>
      <x:c r="Q85" s="52"/>
      <x:c r="R85" s="52" t="str">
        <x:v>Viaticos</x:v>
      </x:c>
      <x:c r="S85" s="52" t="str">
        <x:v>Gasto empresarial</x:v>
      </x:c>
      <x:c r="T85" s="52" t="str">
        <x:v>Jose</x:v>
      </x:c>
      <x:c r="U85" s="52" t="str">
        <x:v>Instalacion de camaras</x:v>
      </x:c>
      <x:c r="V85" s="52"/>
      <x:c r="W85" s="52" t="str">
        <x:v>Pendiente</x:v>
      </x:c>
      <x:c r="X85" s="53"/>
    </x:row>
    <x:row r="86" ht="30" customHeight="1">
      <x:c r="A86" s="45" t="n">
        <x:v>54</x:v>
      </x:c>
      <x:c r="B86" s="46" t="n">
        <x:v>46252.75</x:v>
      </x:c>
      <x:c r="C86" s="47" t="str">
        <x:v>USD 34232261</x:v>
      </x:c>
      <x:c r="D86" s="47" t="str">
        <x:v>USD</x:v>
      </x:c>
      <x:c r="E86" s="48" t="str">
        <x:v>Deposito en efectivo</x:v>
      </x:c>
      <x:c r="F86" s="49" t="n">
        <x:v>0</x:v>
      </x:c>
      <x:c r="G86" s="49" t="n">
        <x:v>640</x:v>
      </x:c>
      <x:c r="H86" s="50" t="n">
        <x:v>1</x:v>
      </x:c>
      <x:c r="I86" s="51" t="n">
        <x:f>IF(D86="USD",F86,F86/H86)</x:f>
        <x:v>0</x:v>
      </x:c>
      <x:c r="J86" s="51" t="n">
        <x:f>IF(D86="USD",G86,G86/H86)</x:f>
        <x:v>640</x:v>
      </x:c>
      <x:c r="K86" s="51" t="n">
        <x:f>J86-I86</x:f>
        <x:v>640</x:v>
      </x:c>
      <x:c r="L86" s="48" t="str">
        <x:v>Entrada</x:v>
      </x:c>
      <x:c r="M86" s="48" t="str">
        <x:v>Ingreso cliente</x:v>
      </x:c>
      <x:c r="N86" s="48" t="str">
        <x:v>Ingreso empresarial</x:v>
      </x:c>
      <x:c r="O86" s="48" t="str">
        <x:v>Don Norvin</x:v>
      </x:c>
      <x:c r="P86" s="48" t="str">
        <x:v>Agosto 2026</x:v>
      </x:c>
      <x:c r="Q86" s="52"/>
      <x:c r="R86" s="52" t="str">
        <x:v>Ingreso cliente</x:v>
      </x:c>
      <x:c r="S86" s="52" t="str">
        <x:v>Ingreso empresarial</x:v>
      </x:c>
      <x:c r="T86" s="52" t="str">
        <x:v>Don Norvin</x:v>
      </x:c>
      <x:c r="U86" s="52" t="str">
        <x:v>Camaras de seguridad</x:v>
      </x:c>
      <x:c r="V86" s="52"/>
      <x:c r="W86" s="52" t="str">
        <x:v>Revisado</x:v>
      </x:c>
      <x:c r="X86" s="53"/>
    </x:row>
    <x:row r="87" ht="30" customHeight="1">
      <x:c r="A87" s="45" t="n">
        <x:v>55</x:v>
      </x:c>
      <x:c r="B87" s="46" t="n">
        <x:v>46252.75</x:v>
      </x:c>
      <x:c r="C87" s="47" t="str">
        <x:v>USD 34232261</x:v>
      </x:c>
      <x:c r="D87" s="47" t="str">
        <x:v>USD</x:v>
      </x:c>
      <x:c r="E87" s="48" t="str">
        <x:v>Deposito en efectivo</x:v>
      </x:c>
      <x:c r="F87" s="49" t="n">
        <x:v>0</x:v>
      </x:c>
      <x:c r="G87" s="49" t="n">
        <x:v>1230</x:v>
      </x:c>
      <x:c r="H87" s="50" t="n">
        <x:v>1</x:v>
      </x:c>
      <x:c r="I87" s="51" t="n">
        <x:f>IF(D87="USD",F87,F87/H87)</x:f>
        <x:v>0</x:v>
      </x:c>
      <x:c r="J87" s="51" t="n">
        <x:f>IF(D87="USD",G87,G87/H87)</x:f>
        <x:v>1230</x:v>
      </x:c>
      <x:c r="K87" s="51" t="n">
        <x:f>J87-I87</x:f>
        <x:v>1230</x:v>
      </x:c>
      <x:c r="L87" s="48" t="str">
        <x:v>Entrada</x:v>
      </x:c>
      <x:c r="M87" s="48" t="str">
        <x:v>Ingreso cliente</x:v>
      </x:c>
      <x:c r="N87" s="48" t="str">
        <x:v>Ingreso empresarial</x:v>
      </x:c>
      <x:c r="O87" s="48" t="str">
        <x:v>Don Norvin</x:v>
      </x:c>
      <x:c r="P87" s="48" t="str">
        <x:v>Agosto 2026</x:v>
      </x:c>
      <x:c r="Q87" s="52"/>
      <x:c r="R87" s="52" t="str">
        <x:v>Ingreso cliente</x:v>
      </x:c>
      <x:c r="S87" s="52" t="str">
        <x:v>Ingreso empresarial</x:v>
      </x:c>
      <x:c r="T87" s="52" t="str">
        <x:v>Don Norvin</x:v>
      </x:c>
      <x:c r="U87" s="52" t="str">
        <x:v>Camaras de seguridad</x:v>
      </x:c>
      <x:c r="V87" s="52"/>
      <x:c r="W87" s="52" t="str">
        <x:v>Revisado</x:v>
      </x:c>
      <x:c r="X87" s="53"/>
    </x:row>
    <x:row r="88" ht="30" customHeight="1">
      <x:c r="A88" s="45" t="n">
        <x:v>56</x:v>
      </x:c>
      <x:c r="B88" s="46" t="n">
        <x:v>46252.75</x:v>
      </x:c>
      <x:c r="C88" s="47" t="str">
        <x:v>USD 34232261</x:v>
      </x:c>
      <x:c r="D88" s="47" t="str">
        <x:v>USD</x:v>
      </x:c>
      <x:c r="E88" s="48" t="str">
        <x:v>Deposito en efectivo</x:v>
      </x:c>
      <x:c r="F88" s="49" t="n">
        <x:v>0</x:v>
      </x:c>
      <x:c r="G88" s="49" t="n">
        <x:v>280</x:v>
      </x:c>
      <x:c r="H88" s="50" t="n">
        <x:v>1</x:v>
      </x:c>
      <x:c r="I88" s="51" t="n">
        <x:f>IF(D88="USD",F88,F88/H88)</x:f>
        <x:v>0</x:v>
      </x:c>
      <x:c r="J88" s="51" t="n">
        <x:f>IF(D88="USD",G88,G88/H88)</x:f>
        <x:v>280</x:v>
      </x:c>
      <x:c r="K88" s="51" t="n">
        <x:f>J88-I88</x:f>
        <x:v>280</x:v>
      </x:c>
      <x:c r="L88" s="48" t="str">
        <x:v>Entrada</x:v>
      </x:c>
      <x:c r="M88" s="48" t="str">
        <x:v>Ingreso cliente</x:v>
      </x:c>
      <x:c r="N88" s="48" t="str">
        <x:v>Ingreso empresarial</x:v>
      </x:c>
      <x:c r="O88" s="48" t="str">
        <x:v>Don Norvin</x:v>
      </x:c>
      <x:c r="P88" s="48" t="str">
        <x:v>Agosto 2026</x:v>
      </x:c>
      <x:c r="Q88" s="52"/>
      <x:c r="R88" s="52" t="str">
        <x:v>Ingreso cliente</x:v>
      </x:c>
      <x:c r="S88" s="52" t="str">
        <x:v>Ingreso empresarial</x:v>
      </x:c>
      <x:c r="T88" s="52" t="str">
        <x:v>Don Norvin</x:v>
      </x:c>
      <x:c r="U88" s="52" t="str">
        <x:v>Camaras de seguridad</x:v>
      </x:c>
      <x:c r="V88" s="52"/>
      <x:c r="W88" s="52" t="str">
        <x:v>Revisado</x:v>
      </x:c>
      <x:c r="X88" s="53"/>
    </x:row>
    <x:row r="89" ht="30" customHeight="1">
      <x:c r="A89" s="45" t="n">
        <x:v>113</x:v>
      </x:c>
      <x:c r="B89" s="46" t="n">
        <x:v>46253.75</x:v>
      </x:c>
      <x:c r="C89" s="47" t="str">
        <x:v>NIO 39081312</x:v>
      </x:c>
      <x:c r="D89" s="47" t="str">
        <x:v>NIO</x:v>
      </x:c>
      <x:c r="E89" s="48" t="str">
        <x:v>Ago 2026</x:v>
      </x:c>
      <x:c r="F89" s="49" t="n">
        <x:v>180.77</x:v>
      </x:c>
      <x:c r="G89" s="49" t="n">
        <x:v>0</x:v>
      </x:c>
      <x:c r="H89" s="50" t="n">
        <x:v>36.45</x:v>
      </x:c>
      <x:c r="I89" s="51" t="n">
        <x:f>IF(D89="USD",F89,F89/H89)</x:f>
        <x:v>4.959396433470507</x:v>
      </x:c>
      <x:c r="J89" s="51" t="n">
        <x:f>IF(D89="USD",G89,G89/H89)</x:f>
        <x:v>0</x:v>
      </x:c>
      <x:c r="K89" s="51" t="n">
        <x:f>J89-I89</x:f>
        <x:v>-4.959396433470507</x:v>
      </x:c>
      <x:c r="L89" s="48" t="str">
        <x:v>Salida</x:v>
      </x:c>
      <x:c r="M89" s="48" t="str">
        <x:v>Servicio sin identificar</x:v>
      </x:c>
      <x:c r="N89" s="48" t="str">
        <x:v>Pendiente</x:v>
      </x:c>
      <x:c r="O89" s="48" t="str">
        <x:v>Harrinton</x:v>
      </x:c>
      <x:c r="P89" s="48" t="str">
        <x:v>Agosto 2026</x:v>
      </x:c>
      <x:c r="Q89" s="52"/>
      <x:c r="R89" s="52" t="str">
        <x:v>Servicio sin identificar</x:v>
      </x:c>
      <x:c r="S89" s="52" t="str">
        <x:v>Pendiente</x:v>
      </x:c>
      <x:c r="T89" s="52" t="str">
        <x:v>Harrinton</x:v>
      </x:c>
      <x:c r="U89" s="52" t="str"/>
      <x:c r="V89" s="52"/>
      <x:c r="W89" s="52" t="str">
        <x:v>Pendiente</x:v>
      </x:c>
      <x:c r="X89" s="53"/>
    </x:row>
    <x:row r="90" ht="30" customHeight="1">
      <x:c r="A90" s="45" t="n">
        <x:v>57</x:v>
      </x:c>
      <x:c r="B90" s="46" t="n">
        <x:v>46253.75</x:v>
      </x:c>
      <x:c r="C90" s="47" t="str">
        <x:v>USD 34232261</x:v>
      </x:c>
      <x:c r="D90" s="47" t="str">
        <x:v>USD</x:v>
      </x:c>
      <x:c r="E90" s="48" t="str">
        <x:v>HBO Max</x:v>
      </x:c>
      <x:c r="F90" s="49" t="n">
        <x:v>5.02</x:v>
      </x:c>
      <x:c r="G90" s="49" t="n">
        <x:v>0</x:v>
      </x:c>
      <x:c r="H90" s="50" t="n">
        <x:v>1</x:v>
      </x:c>
      <x:c r="I90" s="51" t="n">
        <x:f>IF(D90="USD",F90,F90/H90)</x:f>
        <x:v>5.02</x:v>
      </x:c>
      <x:c r="J90" s="51" t="n">
        <x:f>IF(D90="USD",G90,G90/H90)</x:f>
        <x:v>0</x:v>
      </x:c>
      <x:c r="K90" s="51" t="n">
        <x:f>J90-I90</x:f>
        <x:v>-5.02</x:v>
      </x:c>
      <x:c r="L90" s="48" t="str">
        <x:v>Salida</x:v>
      </x:c>
      <x:c r="M90" s="48" t="str">
        <x:v>Software y suscripciones</x:v>
      </x:c>
      <x:c r="N90" s="48" t="str">
        <x:v>Pendiente</x:v>
      </x:c>
      <x:c r="O90" s="48" t="str">
        <x:v>Harrinton</x:v>
      </x:c>
      <x:c r="P90" s="48" t="str">
        <x:v>Agosto 2026</x:v>
      </x:c>
      <x:c r="Q90" s="52"/>
      <x:c r="R90" s="52" t="str">
        <x:v>Software y suscripciones</x:v>
      </x:c>
      <x:c r="S90" s="52" t="str">
        <x:v>Pendiente</x:v>
      </x:c>
      <x:c r="T90" s="52" t="str">
        <x:v>Harrinton</x:v>
      </x:c>
      <x:c r="U90" s="52" t="str"/>
      <x:c r="V90" s="52"/>
      <x:c r="W90" s="52" t="str">
        <x:v>Pendiente</x:v>
      </x:c>
      <x:c r="X90" s="53"/>
    </x:row>
    <x:row r="91" ht="30" customHeight="1">
      <x:c r="A91" s="45" t="n">
        <x:v>58</x:v>
      </x:c>
      <x:c r="B91" s="46" t="n">
        <x:v>46253.75</x:v>
      </x:c>
      <x:c r="C91" s="47" t="str">
        <x:v>USD 34232261</x:v>
      </x:c>
      <x:c r="D91" s="47" t="str">
        <x:v>USD</x:v>
      </x:c>
      <x:c r="E91" s="48" t="str">
        <x:v>Apple.com/bill</x:v>
      </x:c>
      <x:c r="F91" s="49" t="n">
        <x:v>1.39</x:v>
      </x:c>
      <x:c r="G91" s="49" t="n">
        <x:v>0</x:v>
      </x:c>
      <x:c r="H91" s="50" t="n">
        <x:v>1</x:v>
      </x:c>
      <x:c r="I91" s="51" t="n">
        <x:f>IF(D91="USD",F91,F91/H91)</x:f>
        <x:v>1.39</x:v>
      </x:c>
      <x:c r="J91" s="51" t="n">
        <x:f>IF(D91="USD",G91,G91/H91)</x:f>
        <x:v>0</x:v>
      </x:c>
      <x:c r="K91" s="51" t="n">
        <x:f>J91-I91</x:f>
        <x:v>-1.39</x:v>
      </x:c>
      <x:c r="L91" s="48" t="str">
        <x:v>Salida</x:v>
      </x:c>
      <x:c r="M91" s="48" t="str">
        <x:v>Software y suscripciones</x:v>
      </x:c>
      <x:c r="N91" s="48" t="str">
        <x:v>Pendiente</x:v>
      </x:c>
      <x:c r="O91" s="48" t="str">
        <x:v>Harrinton</x:v>
      </x:c>
      <x:c r="P91" s="48" t="str">
        <x:v>Agosto 2026</x:v>
      </x:c>
      <x:c r="Q91" s="52"/>
      <x:c r="R91" s="52" t="str">
        <x:v>Software y suscripciones</x:v>
      </x:c>
      <x:c r="S91" s="52" t="str">
        <x:v>Pendiente</x:v>
      </x:c>
      <x:c r="T91" s="52" t="str">
        <x:v>Harrinton</x:v>
      </x:c>
      <x:c r="U91" s="52" t="str"/>
      <x:c r="V91" s="52"/>
      <x:c r="W91" s="52" t="str">
        <x:v>Pendiente</x:v>
      </x:c>
      <x:c r="X91" s="53"/>
    </x:row>
    <x:row r="92" ht="30" customHeight="1">
      <x:c r="A92" s="45" t="n">
        <x:v>59</x:v>
      </x:c>
      <x:c r="B92" s="46" t="n">
        <x:v>46253.75</x:v>
      </x:c>
      <x:c r="C92" s="47" t="str">
        <x:v>USD 34232261</x:v>
      </x:c>
      <x:c r="D92" s="47" t="str">
        <x:v>USD</x:v>
      </x:c>
      <x:c r="E92" s="48" t="str">
        <x:v>Envio a Ariadna</x:v>
      </x:c>
      <x:c r="F92" s="49" t="n">
        <x:v>1545.77</x:v>
      </x:c>
      <x:c r="G92" s="49" t="n">
        <x:v>0</x:v>
      </x:c>
      <x:c r="H92" s="50" t="n">
        <x:v>1</x:v>
      </x:c>
      <x:c r="I92" s="51" t="n">
        <x:f>IF(D92="USD",F92,F92/H92)</x:f>
        <x:v>1545.77</x:v>
      </x:c>
      <x:c r="J92" s="51" t="n">
        <x:f>IF(D92="USD",G92,G92/H92)</x:f>
        <x:v>0</x:v>
      </x:c>
      <x:c r="K92" s="51" t="n">
        <x:f>J92-I92</x:f>
        <x:v>-1545.77</x:v>
      </x:c>
      <x:c r="L92" s="48" t="str">
        <x:v>Salida</x:v>
      </x:c>
      <x:c r="M92" s="48" t="str">
        <x:v>Equipos de proyecto</x:v>
      </x:c>
      <x:c r="N92" s="48" t="str">
        <x:v>Gasto empresarial</x:v>
      </x:c>
      <x:c r="O92" s="48" t="str">
        <x:v>Ariadna</x:v>
      </x:c>
      <x:c r="P92" s="48" t="str">
        <x:v>Agosto 2026</x:v>
      </x:c>
      <x:c r="Q92" s="52"/>
      <x:c r="R92" s="52" t="str">
        <x:v>Equipos de proyecto</x:v>
      </x:c>
      <x:c r="S92" s="52" t="str">
        <x:v>Gasto empresarial</x:v>
      </x:c>
      <x:c r="T92" s="52" t="str">
        <x:v>Ariadna</x:v>
      </x:c>
      <x:c r="U92" s="52" t="str">
        <x:v>Don Norvin - camaras</x:v>
      </x:c>
      <x:c r="V92" s="52"/>
      <x:c r="W92" s="52" t="str">
        <x:v>Pendiente</x:v>
      </x:c>
      <x:c r="X92" s="53"/>
    </x:row>
    <x:row r="93" ht="30" customHeight="1">
      <x:c r="A93" s="45" t="n">
        <x:v>60</x:v>
      </x:c>
      <x:c r="B93" s="46" t="n">
        <x:v>46253.75</x:v>
      </x:c>
      <x:c r="C93" s="47" t="str">
        <x:v>USD 34232261</x:v>
      </x:c>
      <x:c r="D93" s="47" t="str">
        <x:v>USD</x:v>
      </x:c>
      <x:c r="E93" s="48" t="str">
        <x:v>Buffett Esteli</x:v>
      </x:c>
      <x:c r="F93" s="49" t="n">
        <x:v>18.93</x:v>
      </x:c>
      <x:c r="G93" s="49" t="n">
        <x:v>0</x:v>
      </x:c>
      <x:c r="H93" s="50" t="n">
        <x:v>1</x:v>
      </x:c>
      <x:c r="I93" s="51" t="n">
        <x:f>IF(D93="USD",F93,F93/H93)</x:f>
        <x:v>18.93</x:v>
      </x:c>
      <x:c r="J93" s="51" t="n">
        <x:f>IF(D93="USD",G93,G93/H93)</x:f>
        <x:v>0</x:v>
      </x:c>
      <x:c r="K93" s="51" t="n">
        <x:f>J93-I93</x:f>
        <x:v>-18.93</x:v>
      </x:c>
      <x:c r="L93" s="48" t="str">
        <x:v>Salida</x:v>
      </x:c>
      <x:c r="M93" s="48" t="str">
        <x:v>Consumo personal recuperable</x:v>
      </x:c>
      <x:c r="N93" s="48" t="str">
        <x:v>Recuperable/personal</x:v>
      </x:c>
      <x:c r="O93" s="48" t="str">
        <x:v>Greyvin / Axel / Harrinton</x:v>
      </x:c>
      <x:c r="P93" s="48" t="str">
        <x:v>Agosto 2026</x:v>
      </x:c>
      <x:c r="Q93" s="52"/>
      <x:c r="R93" s="52" t="str">
        <x:v>Consumo personal recuperable</x:v>
      </x:c>
      <x:c r="S93" s="52" t="str">
        <x:v>Recuperable/personal</x:v>
      </x:c>
      <x:c r="T93" s="52" t="str">
        <x:v>Greyvin / Axel / Harrinton</x:v>
      </x:c>
      <x:c r="U93" s="52" t="str">
        <x:v>C$220 Greyvin, C$220 Axel, resto Harrinton</x:v>
      </x:c>
      <x:c r="V93" s="52"/>
      <x:c r="W93" s="52" t="str">
        <x:v>Pendiente</x:v>
      </x:c>
      <x:c r="X93" s="53"/>
    </x:row>
    <x:row r="94" ht="30" customHeight="1">
      <x:c r="A94" s="45" t="n">
        <x:v>61</x:v>
      </x:c>
      <x:c r="B94" s="46" t="n">
        <x:v>46253.75</x:v>
      </x:c>
      <x:c r="C94" s="47" t="str">
        <x:v>USD 34232261</x:v>
      </x:c>
      <x:c r="D94" s="47" t="str">
        <x:v>USD</x:v>
      </x:c>
      <x:c r="E94" s="48" t="str">
        <x:v>Envio a F</x:v>
      </x:c>
      <x:c r="F94" s="49" t="n">
        <x:v>193</x:v>
      </x:c>
      <x:c r="G94" s="49" t="n">
        <x:v>0</x:v>
      </x:c>
      <x:c r="H94" s="50" t="n">
        <x:v>1</x:v>
      </x:c>
      <x:c r="I94" s="51" t="n">
        <x:f>IF(D94="USD",F94,F94/H94)</x:f>
        <x:v>193</x:v>
      </x:c>
      <x:c r="J94" s="51" t="n">
        <x:f>IF(D94="USD",G94,G94/H94)</x:f>
        <x:v>0</x:v>
      </x:c>
      <x:c r="K94" s="51" t="n">
        <x:f>J94-I94</x:f>
        <x:v>-193</x:v>
      </x:c>
      <x:c r="L94" s="48" t="str">
        <x:v>Salida</x:v>
      </x:c>
      <x:c r="M94" s="48" t="str">
        <x:v>Equipos de proyecto</x:v>
      </x:c>
      <x:c r="N94" s="48" t="str">
        <x:v>Gasto empresarial</x:v>
      </x:c>
      <x:c r="O94" s="48" t="str">
        <x:v>F</x:v>
      </x:c>
      <x:c r="P94" s="48" t="str">
        <x:v>Agosto 2026</x:v>
      </x:c>
      <x:c r="Q94" s="52"/>
      <x:c r="R94" s="52" t="str">
        <x:v>Equipos de proyecto</x:v>
      </x:c>
      <x:c r="S94" s="52" t="str">
        <x:v>Gasto empresarial</x:v>
      </x:c>
      <x:c r="T94" s="52" t="str">
        <x:v>F</x:v>
      </x:c>
      <x:c r="U94" s="52" t="str">
        <x:v>Disco duro - Don Norvin</x:v>
      </x:c>
      <x:c r="V94" s="52"/>
      <x:c r="W94" s="52" t="str">
        <x:v>Pendiente</x:v>
      </x:c>
      <x:c r="X94" s="53"/>
    </x:row>
    <x:row r="95" ht="30" customHeight="1">
      <x:c r="A95" s="45" t="n">
        <x:v>62</x:v>
      </x:c>
      <x:c r="B95" s="46" t="n">
        <x:v>46253.75</x:v>
      </x:c>
      <x:c r="C95" s="47" t="str">
        <x:v>USD 34232261</x:v>
      </x:c>
      <x:c r="D95" s="47" t="str">
        <x:v>USD</x:v>
      </x:c>
      <x:c r="E95" s="48" t="str">
        <x:v>Envio a Carlos</x:v>
      </x:c>
      <x:c r="F95" s="49" t="n">
        <x:v>20.3</x:v>
      </x:c>
      <x:c r="G95" s="49" t="n">
        <x:v>0</x:v>
      </x:c>
      <x:c r="H95" s="50" t="n">
        <x:v>1</x:v>
      </x:c>
      <x:c r="I95" s="51" t="n">
        <x:f>IF(D95="USD",F95,F95/H95)</x:f>
        <x:v>20.3</x:v>
      </x:c>
      <x:c r="J95" s="51" t="n">
        <x:f>IF(D95="USD",G95,G95/H95)</x:f>
        <x:v>0</x:v>
      </x:c>
      <x:c r="K95" s="51" t="n">
        <x:f>J95-I95</x:f>
        <x:v>-20.3</x:v>
      </x:c>
      <x:c r="L95" s="48" t="str">
        <x:v>Salida</x:v>
      </x:c>
      <x:c r="M95" s="48" t="str">
        <x:v>Consumo personal</x:v>
      </x:c>
      <x:c r="N95" s="48" t="str">
        <x:v>Recuperable/personal</x:v>
      </x:c>
      <x:c r="O95" s="48" t="str">
        <x:v>Harrinton</x:v>
      </x:c>
      <x:c r="P95" s="48" t="str">
        <x:v>Agosto 2026</x:v>
      </x:c>
      <x:c r="Q95" s="52"/>
      <x:c r="R95" s="52" t="str">
        <x:v>Consumo personal</x:v>
      </x:c>
      <x:c r="S95" s="52" t="str">
        <x:v>Recuperable/personal</x:v>
      </x:c>
      <x:c r="T95" s="52" t="str">
        <x:v>Harrinton</x:v>
      </x:c>
      <x:c r="U95" s="52" t="str"/>
      <x:c r="V95" s="52"/>
      <x:c r="W95" s="52" t="str">
        <x:v>Pendiente</x:v>
      </x:c>
      <x:c r="X95" s="53"/>
    </x:row>
    <x:row r="96" ht="30" customHeight="1">
      <x:c r="A96" s="45" t="n">
        <x:v>63</x:v>
      </x:c>
      <x:c r="B96" s="46" t="n">
        <x:v>46254.75</x:v>
      </x:c>
      <x:c r="C96" s="47" t="str">
        <x:v>USD 34232261</x:v>
      </x:c>
      <x:c r="D96" s="47" t="str">
        <x:v>USD</x:v>
      </x:c>
      <x:c r="E96" s="48" t="str">
        <x:v>Compra de recarga Tigo</x:v>
      </x:c>
      <x:c r="F96" s="49" t="n">
        <x:v>14.27</x:v>
      </x:c>
      <x:c r="G96" s="49" t="n">
        <x:v>0</x:v>
      </x:c>
      <x:c r="H96" s="50" t="n">
        <x:v>1</x:v>
      </x:c>
      <x:c r="I96" s="51" t="n">
        <x:f>IF(D96="USD",F96,F96/H96)</x:f>
        <x:v>14.27</x:v>
      </x:c>
      <x:c r="J96" s="51" t="n">
        <x:f>IF(D96="USD",G96,G96/H96)</x:f>
        <x:v>0</x:v>
      </x:c>
      <x:c r="K96" s="51" t="n">
        <x:f>J96-I96</x:f>
        <x:v>-14.27</x:v>
      </x:c>
      <x:c r="L96" s="48" t="str">
        <x:v>Salida</x:v>
      </x:c>
      <x:c r="M96" s="48" t="str">
        <x:v>Telecomunicaciones</x:v>
      </x:c>
      <x:c r="N96" s="48" t="str">
        <x:v>Pendiente</x:v>
      </x:c>
      <x:c r="O96" s="48" t="str">
        <x:v>Harrinton</x:v>
      </x:c>
      <x:c r="P96" s="48" t="str">
        <x:v>Agosto 2026</x:v>
      </x:c>
      <x:c r="Q96" s="52"/>
      <x:c r="R96" s="52" t="str">
        <x:v>Telecomunicaciones</x:v>
      </x:c>
      <x:c r="S96" s="52" t="str">
        <x:v>Pendiente</x:v>
      </x:c>
      <x:c r="T96" s="52" t="str">
        <x:v>Harrinton</x:v>
      </x:c>
      <x:c r="U96" s="52" t="str"/>
      <x:c r="V96" s="52"/>
      <x:c r="W96" s="52" t="str">
        <x:v>Pendiente</x:v>
      </x:c>
      <x:c r="X96" s="53"/>
    </x:row>
    <x:row r="97" ht="30" customHeight="1">
      <x:c r="A97" s="45" t="n">
        <x:v>64</x:v>
      </x:c>
      <x:c r="B97" s="46" t="n">
        <x:v>46254.75</x:v>
      </x:c>
      <x:c r="C97" s="47" t="str">
        <x:v>USD 34232261</x:v>
      </x:c>
      <x:c r="D97" s="47" t="str">
        <x:v>USD</x:v>
      </x:c>
      <x:c r="E97" s="48" t="str">
        <x:v>Reversion HBO Max</x:v>
      </x:c>
      <x:c r="F97" s="49" t="n">
        <x:v>0</x:v>
      </x:c>
      <x:c r="G97" s="49" t="n">
        <x:v>5.02</x:v>
      </x:c>
      <x:c r="H97" s="50" t="n">
        <x:v>1</x:v>
      </x:c>
      <x:c r="I97" s="51" t="n">
        <x:f>IF(D97="USD",F97,F97/H97)</x:f>
        <x:v>0</x:v>
      </x:c>
      <x:c r="J97" s="51" t="n">
        <x:f>IF(D97="USD",G97,G97/H97)</x:f>
        <x:v>5.02</x:v>
      </x:c>
      <x:c r="K97" s="51" t="n">
        <x:f>J97-I97</x:f>
        <x:v>5.02</x:v>
      </x:c>
      <x:c r="L97" s="48" t="str">
        <x:v>Entrada</x:v>
      </x:c>
      <x:c r="M97" s="48" t="str">
        <x:v>Reversion/reembolso</x:v>
      </x:c>
      <x:c r="N97" s="48" t="str">
        <x:v>Reduce gasto</x:v>
      </x:c>
      <x:c r="O97" s="48" t="str">
        <x:v>HBO Max</x:v>
      </x:c>
      <x:c r="P97" s="48" t="str">
        <x:v>Agosto 2026</x:v>
      </x:c>
      <x:c r="Q97" s="52"/>
      <x:c r="R97" s="52" t="str">
        <x:v>Reversion/reembolso</x:v>
      </x:c>
      <x:c r="S97" s="52" t="str">
        <x:v>Reduce gasto</x:v>
      </x:c>
      <x:c r="T97" s="52" t="str">
        <x:v>HBO Max</x:v>
      </x:c>
      <x:c r="U97" s="52" t="str"/>
      <x:c r="V97" s="52"/>
      <x:c r="W97" s="52" t="str">
        <x:v>Revisado</x:v>
      </x:c>
      <x:c r="X97" s="53"/>
    </x:row>
    <x:row r="98" ht="30" customHeight="1">
      <x:c r="A98" s="45" t="n">
        <x:v>65</x:v>
      </x:c>
      <x:c r="B98" s="46" t="n">
        <x:v>46254.75</x:v>
      </x:c>
      <x:c r="C98" s="47" t="str">
        <x:v>USD 34232261</x:v>
      </x:c>
      <x:c r="D98" s="47" t="str">
        <x:v>USD</x:v>
      </x:c>
      <x:c r="E98" s="48" t="str">
        <x:v>HBO Max</x:v>
      </x:c>
      <x:c r="F98" s="49" t="n">
        <x:v>5.1</x:v>
      </x:c>
      <x:c r="G98" s="49" t="n">
        <x:v>0</x:v>
      </x:c>
      <x:c r="H98" s="50" t="n">
        <x:v>1</x:v>
      </x:c>
      <x:c r="I98" s="51" t="n">
        <x:f>IF(D98="USD",F98,F98/H98)</x:f>
        <x:v>5.1</x:v>
      </x:c>
      <x:c r="J98" s="51" t="n">
        <x:f>IF(D98="USD",G98,G98/H98)</x:f>
        <x:v>0</x:v>
      </x:c>
      <x:c r="K98" s="51" t="n">
        <x:f>J98-I98</x:f>
        <x:v>-5.1</x:v>
      </x:c>
      <x:c r="L98" s="48" t="str">
        <x:v>Salida</x:v>
      </x:c>
      <x:c r="M98" s="48" t="str">
        <x:v>Software y suscripciones</x:v>
      </x:c>
      <x:c r="N98" s="48" t="str">
        <x:v>Pendiente</x:v>
      </x:c>
      <x:c r="O98" s="48" t="str">
        <x:v>Harrinton</x:v>
      </x:c>
      <x:c r="P98" s="48" t="str">
        <x:v>Agosto 2026</x:v>
      </x:c>
      <x:c r="Q98" s="52"/>
      <x:c r="R98" s="52" t="str">
        <x:v>Software y suscripciones</x:v>
      </x:c>
      <x:c r="S98" s="52" t="str">
        <x:v>Pendiente</x:v>
      </x:c>
      <x:c r="T98" s="52" t="str">
        <x:v>Harrinton</x:v>
      </x:c>
      <x:c r="U98" s="52" t="str"/>
      <x:c r="V98" s="52"/>
      <x:c r="W98" s="52" t="str">
        <x:v>Pendiente</x:v>
      </x:c>
      <x:c r="X98" s="53"/>
    </x:row>
    <x:row r="99" ht="30" customHeight="1">
      <x:c r="A99" s="45" t="n">
        <x:v>66</x:v>
      </x:c>
      <x:c r="B99" s="46" t="n">
        <x:v>46254.75</x:v>
      </x:c>
      <x:c r="C99" s="47" t="str">
        <x:v>USD 34232261</x:v>
      </x:c>
      <x:c r="D99" s="47" t="str">
        <x:v>USD</x:v>
      </x:c>
      <x:c r="E99" s="48" t="str">
        <x:v>Retiro ATM Sucursal Matagalpa</x:v>
      </x:c>
      <x:c r="F99" s="49" t="n">
        <x:v>548.69</x:v>
      </x:c>
      <x:c r="G99" s="49" t="n">
        <x:v>0</x:v>
      </x:c>
      <x:c r="H99" s="50" t="n">
        <x:v>1</x:v>
      </x:c>
      <x:c r="I99" s="51" t="n">
        <x:f>IF(D99="USD",F99,F99/H99)</x:f>
        <x:v>548.69</x:v>
      </x:c>
      <x:c r="J99" s="51" t="n">
        <x:f>IF(D99="USD",G99,G99/H99)</x:f>
        <x:v>0</x:v>
      </x:c>
      <x:c r="K99" s="51" t="n">
        <x:f>J99-I99</x:f>
        <x:v>-548.69</x:v>
      </x:c>
      <x:c r="L99" s="48" t="str">
        <x:v>Salida</x:v>
      </x:c>
      <x:c r="M99" s="48" t="str">
        <x:v>Prestamo a empleado</x:v>
      </x:c>
      <x:c r="N99" s="48" t="str">
        <x:v>Cuenta por cobrar</x:v>
      </x:c>
      <x:c r="O99" s="48" t="str">
        <x:v>Axel</x:v>
      </x:c>
      <x:c r="P99" s="48" t="str">
        <x:v>Agosto 2026</x:v>
      </x:c>
      <x:c r="Q99" s="52"/>
      <x:c r="R99" s="52" t="str">
        <x:v>Prestamo a empleado</x:v>
      </x:c>
      <x:c r="S99" s="52" t="str">
        <x:v>Cuenta por cobrar</x:v>
      </x:c>
      <x:c r="T99" s="52" t="str">
        <x:v>Axel</x:v>
      </x:c>
      <x:c r="U99" s="52" t="str">
        <x:v>Reparacion camioneta personal</x:v>
      </x:c>
      <x:c r="V99" s="52"/>
      <x:c r="W99" s="52" t="str">
        <x:v>Pendiente</x:v>
      </x:c>
      <x:c r="X99" s="53"/>
    </x:row>
    <x:row r="100" ht="30" customHeight="1">
      <x:c r="A100" s="45" t="n">
        <x:v>67</x:v>
      </x:c>
      <x:c r="B100" s="46" t="n">
        <x:v>46254.75</x:v>
      </x:c>
      <x:c r="C100" s="47" t="str">
        <x:v>USD 34232261</x:v>
      </x:c>
      <x:c r="D100" s="47" t="str">
        <x:v>USD</x:v>
      </x:c>
      <x:c r="E100" s="48" t="str">
        <x:v>Comision retiro ATM</x:v>
      </x:c>
      <x:c r="F100" s="49" t="n">
        <x:v>0.03</x:v>
      </x:c>
      <x:c r="G100" s="49" t="n">
        <x:v>0</x:v>
      </x:c>
      <x:c r="H100" s="50" t="n">
        <x:v>1</x:v>
      </x:c>
      <x:c r="I100" s="51" t="n">
        <x:f>IF(D100="USD",F100,F100/H100)</x:f>
        <x:v>0.03</x:v>
      </x:c>
      <x:c r="J100" s="51" t="n">
        <x:f>IF(D100="USD",G100,G100/H100)</x:f>
        <x:v>0</x:v>
      </x:c>
      <x:c r="K100" s="51" t="n">
        <x:f>J100-I100</x:f>
        <x:v>-0.03</x:v>
      </x:c>
      <x:c r="L100" s="48" t="str">
        <x:v>Salida</x:v>
      </x:c>
      <x:c r="M100" s="48" t="str">
        <x:v>Comisiones bancarias</x:v>
      </x:c>
      <x:c r="N100" s="48" t="str">
        <x:v>Gasto empresarial</x:v>
      </x:c>
      <x:c r="O100" s="48" t="str">
        <x:v>Banco</x:v>
      </x:c>
      <x:c r="P100" s="48" t="str">
        <x:v>Agosto 2026</x:v>
      </x:c>
      <x:c r="Q100" s="52"/>
      <x:c r="R100" s="52" t="str">
        <x:v>Comisiones bancarias</x:v>
      </x:c>
      <x:c r="S100" s="52" t="str">
        <x:v>Gasto empresarial</x:v>
      </x:c>
      <x:c r="T100" s="52" t="str">
        <x:v>Banco</x:v>
      </x:c>
      <x:c r="U100" s="52" t="str"/>
      <x:c r="V100" s="52"/>
      <x:c r="W100" s="52" t="str">
        <x:v>Pendiente</x:v>
      </x:c>
      <x:c r="X100" s="53"/>
    </x:row>
    <x:row r="101" ht="30" customHeight="1">
      <x:c r="A101" s="45" t="n">
        <x:v>68</x:v>
      </x:c>
      <x:c r="B101" s="46" t="n">
        <x:v>46254.75</x:v>
      </x:c>
      <x:c r="C101" s="47" t="str">
        <x:v>USD 34232261</x:v>
      </x:c>
      <x:c r="D101" s="47" t="str">
        <x:v>USD</x:v>
      </x:c>
      <x:c r="E101" s="48" t="str">
        <x:v>Retiro ATM Sucursal Matagalpa</x:v>
      </x:c>
      <x:c r="F101" s="49" t="n">
        <x:v>54.86</x:v>
      </x:c>
      <x:c r="G101" s="49" t="n">
        <x:v>0</x:v>
      </x:c>
      <x:c r="H101" s="50" t="n">
        <x:v>1</x:v>
      </x:c>
      <x:c r="I101" s="51" t="n">
        <x:f>IF(D101="USD",F101,F101/H101)</x:f>
        <x:v>54.86</x:v>
      </x:c>
      <x:c r="J101" s="51" t="n">
        <x:f>IF(D101="USD",G101,G101/H101)</x:f>
        <x:v>0</x:v>
      </x:c>
      <x:c r="K101" s="51" t="n">
        <x:f>J101-I101</x:f>
        <x:v>-54.86</x:v>
      </x:c>
      <x:c r="L101" s="48" t="str">
        <x:v>Salida</x:v>
      </x:c>
      <x:c r="M101" s="48" t="str">
        <x:v>Caja chica</x:v>
      </x:c>
      <x:c r="N101" s="48" t="str">
        <x:v>Fondo por liquidar</x:v>
      </x:c>
      <x:c r="O101" s="48" t="str">
        <x:v>Caja chica</x:v>
      </x:c>
      <x:c r="P101" s="48" t="str">
        <x:v>Agosto 2026</x:v>
      </x:c>
      <x:c r="Q101" s="52"/>
      <x:c r="R101" s="52" t="str">
        <x:v>Caja chica</x:v>
      </x:c>
      <x:c r="S101" s="52" t="str">
        <x:v>Fondo por liquidar</x:v>
      </x:c>
      <x:c r="T101" s="52" t="str">
        <x:v>Caja chica</x:v>
      </x:c>
      <x:c r="U101" s="52" t="str"/>
      <x:c r="V101" s="52"/>
      <x:c r="W101" s="52" t="str">
        <x:v>Pendiente</x:v>
      </x:c>
      <x:c r="X101" s="53"/>
    </x:row>
    <x:row r="102" ht="30" customHeight="1">
      <x:c r="A102" s="45" t="n">
        <x:v>69</x:v>
      </x:c>
      <x:c r="B102" s="46" t="n">
        <x:v>46254.75</x:v>
      </x:c>
      <x:c r="C102" s="47" t="str">
        <x:v>USD 34232261</x:v>
      </x:c>
      <x:c r="D102" s="47" t="str">
        <x:v>USD</x:v>
      </x:c>
      <x:c r="E102" s="48" t="str">
        <x:v>Comision retiro ATM</x:v>
      </x:c>
      <x:c r="F102" s="49" t="n">
        <x:v>0.03</x:v>
      </x:c>
      <x:c r="G102" s="49" t="n">
        <x:v>0</x:v>
      </x:c>
      <x:c r="H102" s="50" t="n">
        <x:v>1</x:v>
      </x:c>
      <x:c r="I102" s="51" t="n">
        <x:f>IF(D102="USD",F102,F102/H102)</x:f>
        <x:v>0.03</x:v>
      </x:c>
      <x:c r="J102" s="51" t="n">
        <x:f>IF(D102="USD",G102,G102/H102)</x:f>
        <x:v>0</x:v>
      </x:c>
      <x:c r="K102" s="51" t="n">
        <x:f>J102-I102</x:f>
        <x:v>-0.03</x:v>
      </x:c>
      <x:c r="L102" s="48" t="str">
        <x:v>Salida</x:v>
      </x:c>
      <x:c r="M102" s="48" t="str">
        <x:v>Comisiones bancarias</x:v>
      </x:c>
      <x:c r="N102" s="48" t="str">
        <x:v>Gasto empresarial</x:v>
      </x:c>
      <x:c r="O102" s="48" t="str">
        <x:v>Banco</x:v>
      </x:c>
      <x:c r="P102" s="48" t="str">
        <x:v>Agosto 2026</x:v>
      </x:c>
      <x:c r="Q102" s="52"/>
      <x:c r="R102" s="52" t="str">
        <x:v>Comisiones bancarias</x:v>
      </x:c>
      <x:c r="S102" s="52" t="str">
        <x:v>Gasto empresarial</x:v>
      </x:c>
      <x:c r="T102" s="52" t="str">
        <x:v>Banco</x:v>
      </x:c>
      <x:c r="U102" s="52" t="str"/>
      <x:c r="V102" s="52"/>
      <x:c r="W102" s="52" t="str">
        <x:v>Pendiente</x:v>
      </x:c>
      <x:c r="X102" s="53"/>
    </x:row>
    <x:row r="103" ht="30" customHeight="1">
      <x:c r="A103" s="45" t="n">
        <x:v>70</x:v>
      </x:c>
      <x:c r="B103" s="46" t="n">
        <x:v>46254.75</x:v>
      </x:c>
      <x:c r="C103" s="47" t="str">
        <x:v>USD 34232261</x:v>
      </x:c>
      <x:c r="D103" s="47" t="str">
        <x:v>USD</x:v>
      </x:c>
      <x:c r="E103" s="48" t="str">
        <x:v>ECSA UNO Estrella del Norte</x:v>
      </x:c>
      <x:c r="F103" s="49" t="n">
        <x:v>80.32</x:v>
      </x:c>
      <x:c r="G103" s="49" t="n">
        <x:v>0</x:v>
      </x:c>
      <x:c r="H103" s="50" t="n">
        <x:v>1</x:v>
      </x:c>
      <x:c r="I103" s="51" t="n">
        <x:f>IF(D103="USD",F103,F103/H103)</x:f>
        <x:v>80.32</x:v>
      </x:c>
      <x:c r="J103" s="51" t="n">
        <x:f>IF(D103="USD",G103,G103/H103)</x:f>
        <x:v>0</x:v>
      </x:c>
      <x:c r="K103" s="51" t="n">
        <x:f>J103-I103</x:f>
        <x:v>-80.32</x:v>
      </x:c>
      <x:c r="L103" s="48" t="str">
        <x:v>Salida</x:v>
      </x:c>
      <x:c r="M103" s="48" t="str">
        <x:v>Combustible</x:v>
      </x:c>
      <x:c r="N103" s="48" t="str">
        <x:v>Gasto empresarial</x:v>
      </x:c>
      <x:c r="O103" s="48" t="str"/>
      <x:c r="P103" s="48" t="str">
        <x:v>Agosto 2026</x:v>
      </x:c>
      <x:c r="Q103" s="52"/>
      <x:c r="R103" s="52" t="str">
        <x:v>Combustible</x:v>
      </x:c>
      <x:c r="S103" s="52" t="str">
        <x:v>Gasto empresarial</x:v>
      </x:c>
      <x:c r="T103" s="52" t="str"/>
      <x:c r="U103" s="52" t="str"/>
      <x:c r="V103" s="52"/>
      <x:c r="W103" s="52" t="str">
        <x:v>Pendiente</x:v>
      </x:c>
      <x:c r="X103" s="53"/>
    </x:row>
    <x:row r="104" ht="30" customHeight="1">
      <x:c r="A104" s="45" t="n">
        <x:v>71</x:v>
      </x:c>
      <x:c r="B104" s="46" t="n">
        <x:v>46254.75</x:v>
      </x:c>
      <x:c r="C104" s="47" t="str">
        <x:v>USD 34232261</x:v>
      </x:c>
      <x:c r="D104" s="47" t="str">
        <x:v>USD</x:v>
      </x:c>
      <x:c r="E104" s="48" t="str">
        <x:v>ECSA UNO Estrella del Norte</x:v>
      </x:c>
      <x:c r="F104" s="49" t="n">
        <x:v>5.62</x:v>
      </x:c>
      <x:c r="G104" s="49" t="n">
        <x:v>0</x:v>
      </x:c>
      <x:c r="H104" s="50" t="n">
        <x:v>1</x:v>
      </x:c>
      <x:c r="I104" s="51" t="n">
        <x:f>IF(D104="USD",F104,F104/H104)</x:f>
        <x:v>5.62</x:v>
      </x:c>
      <x:c r="J104" s="51" t="n">
        <x:f>IF(D104="USD",G104,G104/H104)</x:f>
        <x:v>0</x:v>
      </x:c>
      <x:c r="K104" s="51" t="n">
        <x:f>J104-I104</x:f>
        <x:v>-5.62</x:v>
      </x:c>
      <x:c r="L104" s="48" t="str">
        <x:v>Salida</x:v>
      </x:c>
      <x:c r="M104" s="48" t="str">
        <x:v>Combustible</x:v>
      </x:c>
      <x:c r="N104" s="48" t="str">
        <x:v>Gasto empresarial</x:v>
      </x:c>
      <x:c r="O104" s="48" t="str"/>
      <x:c r="P104" s="48" t="str">
        <x:v>Agosto 2026</x:v>
      </x:c>
      <x:c r="Q104" s="52"/>
      <x:c r="R104" s="52" t="str">
        <x:v>Combustible</x:v>
      </x:c>
      <x:c r="S104" s="52" t="str">
        <x:v>Gasto empresarial</x:v>
      </x:c>
      <x:c r="T104" s="52" t="str"/>
      <x:c r="U104" s="52" t="str"/>
      <x:c r="V104" s="52"/>
      <x:c r="W104" s="52" t="str">
        <x:v>Pendiente</x:v>
      </x:c>
      <x:c r="X104" s="53"/>
    </x:row>
    <x:row r="105" ht="30" customHeight="1">
      <x:c r="A105" s="45" t="n">
        <x:v>72</x:v>
      </x:c>
      <x:c r="B105" s="46" t="n">
        <x:v>46254.75</x:v>
      </x:c>
      <x:c r="C105" s="47" t="str">
        <x:v>USD 34232261</x:v>
      </x:c>
      <x:c r="D105" s="47" t="str">
        <x:v>USD</x:v>
      </x:c>
      <x:c r="E105" s="48" t="str">
        <x:v>Carls Junior Tramontana</x:v>
      </x:c>
      <x:c r="F105" s="49" t="n">
        <x:v>29.41</x:v>
      </x:c>
      <x:c r="G105" s="49" t="n">
        <x:v>0</x:v>
      </x:c>
      <x:c r="H105" s="50" t="n">
        <x:v>1</x:v>
      </x:c>
      <x:c r="I105" s="51" t="n">
        <x:f>IF(D105="USD",F105,F105/H105)</x:f>
        <x:v>29.41</x:v>
      </x:c>
      <x:c r="J105" s="51" t="n">
        <x:f>IF(D105="USD",G105,G105/H105)</x:f>
        <x:v>0</x:v>
      </x:c>
      <x:c r="K105" s="51" t="n">
        <x:f>J105-I105</x:f>
        <x:v>-29.41</x:v>
      </x:c>
      <x:c r="L105" s="48" t="str">
        <x:v>Salida</x:v>
      </x:c>
      <x:c r="M105" s="48" t="str">
        <x:v>Mixto: viatico y recuperable</x:v>
      </x:c>
      <x:c r="N105" s="48" t="str">
        <x:v>Mixto</x:v>
      </x:c>
      <x:c r="O105" s="48" t="str">
        <x:v>Harrinton / Jairo</x:v>
      </x:c>
      <x:c r="P105" s="48" t="str">
        <x:v>Agosto 2026</x:v>
      </x:c>
      <x:c r="Q105" s="52"/>
      <x:c r="R105" s="52" t="str">
        <x:v>Mixto: viatico y recuperable</x:v>
      </x:c>
      <x:c r="S105" s="52" t="str">
        <x:v>Mixto</x:v>
      </x:c>
      <x:c r="T105" s="52" t="str">
        <x:v>Harrinton / Jairo</x:v>
      </x:c>
      <x:c r="U105" s="52" t="str">
        <x:v>C$600 recuperable; resto viatico</x:v>
      </x:c>
      <x:c r="V105" s="52"/>
      <x:c r="W105" s="52" t="str">
        <x:v>Pendiente</x:v>
      </x:c>
      <x:c r="X105" s="53"/>
    </x:row>
    <x:row r="106" ht="30" customHeight="1">
      <x:c r="A106" s="45" t="n">
        <x:v>73</x:v>
      </x:c>
      <x:c r="B106" s="46" t="n">
        <x:v>46255.75</x:v>
      </x:c>
      <x:c r="C106" s="47" t="str">
        <x:v>USD 34232261</x:v>
      </x:c>
      <x:c r="D106" s="47" t="str">
        <x:v>USD</x:v>
      </x:c>
      <x:c r="E106" s="48" t="str">
        <x:v>Deposito/pago de renta de modulo</x:v>
      </x:c>
      <x:c r="F106" s="49" t="n">
        <x:v>500</x:v>
      </x:c>
      <x:c r="G106" s="49" t="n">
        <x:v>0</x:v>
      </x:c>
      <x:c r="H106" s="50" t="n">
        <x:v>1</x:v>
      </x:c>
      <x:c r="I106" s="51" t="n">
        <x:f>IF(D106="USD",F106,F106/H106)</x:f>
        <x:v>500</x:v>
      </x:c>
      <x:c r="J106" s="51" t="n">
        <x:f>IF(D106="USD",G106,G106/H106)</x:f>
        <x:v>0</x:v>
      </x:c>
      <x:c r="K106" s="51" t="n">
        <x:f>J106-I106</x:f>
        <x:v>-500</x:v>
      </x:c>
      <x:c r="L106" s="48" t="str">
        <x:v>Salida</x:v>
      </x:c>
      <x:c r="M106" s="48" t="str">
        <x:v>Renta de modulo</x:v>
      </x:c>
      <x:c r="N106" s="48" t="str">
        <x:v>Pendiente</x:v>
      </x:c>
      <x:c r="O106" s="48" t="str">
        <x:v>Northlink</x:v>
      </x:c>
      <x:c r="P106" s="48" t="str">
        <x:v>Agosto 2026</x:v>
      </x:c>
      <x:c r="Q106" s="52"/>
      <x:c r="R106" s="52" t="str">
        <x:v>Renta de modulo</x:v>
      </x:c>
      <x:c r="S106" s="52" t="str">
        <x:v>Pendiente</x:v>
      </x:c>
      <x:c r="T106" s="52" t="str">
        <x:v>Northlink</x:v>
      </x:c>
      <x:c r="U106" s="52" t="str"/>
      <x:c r="V106" s="52"/>
      <x:c r="W106" s="52" t="str">
        <x:v>Pendiente</x:v>
      </x:c>
      <x:c r="X106" s="53"/>
    </x:row>
    <x:row r="107" ht="30" customHeight="1">
      <x:c r="A107" s="45" t="n">
        <x:v>74</x:v>
      </x:c>
      <x:c r="B107" s="46" t="n">
        <x:v>46256.75</x:v>
      </x:c>
      <x:c r="C107" s="47" t="str">
        <x:v>USD 34232261</x:v>
      </x:c>
      <x:c r="D107" s="47" t="str">
        <x:v>USD</x:v>
      </x:c>
      <x:c r="E107" s="48" t="str">
        <x:v>Super Express El Calvario</x:v>
      </x:c>
      <x:c r="F107" s="49" t="n">
        <x:v>9.01</x:v>
      </x:c>
      <x:c r="G107" s="49" t="n">
        <x:v>0</x:v>
      </x:c>
      <x:c r="H107" s="50" t="n">
        <x:v>1</x:v>
      </x:c>
      <x:c r="I107" s="51" t="n">
        <x:f>IF(D107="USD",F107,F107/H107)</x:f>
        <x:v>9.01</x:v>
      </x:c>
      <x:c r="J107" s="51" t="n">
        <x:f>IF(D107="USD",G107,G107/H107)</x:f>
        <x:v>0</x:v>
      </x:c>
      <x:c r="K107" s="51" t="n">
        <x:f>J107-I107</x:f>
        <x:v>-9.01</x:v>
      </x:c>
      <x:c r="L107" s="48" t="str">
        <x:v>Salida</x:v>
      </x:c>
      <x:c r="M107" s="48" t="str">
        <x:v>Consumo personal</x:v>
      </x:c>
      <x:c r="N107" s="48" t="str">
        <x:v>Recuperable/personal</x:v>
      </x:c>
      <x:c r="O107" s="48" t="str">
        <x:v>Harrinton</x:v>
      </x:c>
      <x:c r="P107" s="48" t="str">
        <x:v>Agosto 2026</x:v>
      </x:c>
      <x:c r="Q107" s="52"/>
      <x:c r="R107" s="52" t="str">
        <x:v>Consumo personal</x:v>
      </x:c>
      <x:c r="S107" s="52" t="str">
        <x:v>Recuperable/personal</x:v>
      </x:c>
      <x:c r="T107" s="52" t="str">
        <x:v>Harrinton</x:v>
      </x:c>
      <x:c r="U107" s="52" t="str"/>
      <x:c r="V107" s="52"/>
      <x:c r="W107" s="52" t="str">
        <x:v>Pendiente</x:v>
      </x:c>
      <x:c r="X107" s="53"/>
    </x:row>
    <x:row r="108" ht="30" customHeight="1">
      <x:c r="A108" s="45" t="n">
        <x:v>75</x:v>
      </x:c>
      <x:c r="B108" s="46" t="n">
        <x:v>46256.75</x:v>
      </x:c>
      <x:c r="C108" s="47" t="str">
        <x:v>USD 34232261</x:v>
      </x:c>
      <x:c r="D108" s="47" t="str">
        <x:v>USD</x:v>
      </x:c>
      <x:c r="E108" s="48" t="str">
        <x:v>Bar Sopas El Carao</x:v>
      </x:c>
      <x:c r="F108" s="49" t="n">
        <x:v>37.31</x:v>
      </x:c>
      <x:c r="G108" s="49" t="n">
        <x:v>0</x:v>
      </x:c>
      <x:c r="H108" s="50" t="n">
        <x:v>1</x:v>
      </x:c>
      <x:c r="I108" s="51" t="n">
        <x:f>IF(D108="USD",F108,F108/H108)</x:f>
        <x:v>37.31</x:v>
      </x:c>
      <x:c r="J108" s="51" t="n">
        <x:f>IF(D108="USD",G108,G108/H108)</x:f>
        <x:v>0</x:v>
      </x:c>
      <x:c r="K108" s="51" t="n">
        <x:f>J108-I108</x:f>
        <x:v>-37.31</x:v>
      </x:c>
      <x:c r="L108" s="48" t="str">
        <x:v>Salida</x:v>
      </x:c>
      <x:c r="M108" s="48" t="str">
        <x:v>Consumo personal recuperable</x:v>
      </x:c>
      <x:c r="N108" s="48" t="str">
        <x:v>Recuperable/personal</x:v>
      </x:c>
      <x:c r="O108" s="48" t="str">
        <x:v>Axel / Jairo / Greyvin / Harrinton</x:v>
      </x:c>
      <x:c r="P108" s="48" t="str">
        <x:v>Agosto 2026</x:v>
      </x:c>
      <x:c r="Q108" s="52"/>
      <x:c r="R108" s="52" t="str">
        <x:v>Consumo personal recuperable</x:v>
      </x:c>
      <x:c r="S108" s="52" t="str">
        <x:v>Recuperable/personal</x:v>
      </x:c>
      <x:c r="T108" s="52" t="str">
        <x:v>Axel / Jairo / Greyvin / Harrinton</x:v>
      </x:c>
      <x:c r="U108" s="52" t="str"/>
      <x:c r="V108" s="52"/>
      <x:c r="W108" s="52" t="str">
        <x:v>Pendiente</x:v>
      </x:c>
      <x:c r="X108" s="53"/>
    </x:row>
    <x:row r="109" ht="30" customHeight="1">
      <x:c r="A109" s="45" t="n">
        <x:v>76</x:v>
      </x:c>
      <x:c r="B109" s="46" t="n">
        <x:v>46256.75</x:v>
      </x:c>
      <x:c r="C109" s="47" t="str">
        <x:v>USD 34232261</x:v>
      </x:c>
      <x:c r="D109" s="47" t="str">
        <x:v>USD</x:v>
      </x:c>
      <x:c r="E109" s="48" t="str">
        <x:v>Super Express Los Coquitos</x:v>
      </x:c>
      <x:c r="F109" s="49" t="n">
        <x:v>5.33</x:v>
      </x:c>
      <x:c r="G109" s="49" t="n">
        <x:v>0</x:v>
      </x:c>
      <x:c r="H109" s="50" t="n">
        <x:v>1</x:v>
      </x:c>
      <x:c r="I109" s="51" t="n">
        <x:f>IF(D109="USD",F109,F109/H109)</x:f>
        <x:v>5.33</x:v>
      </x:c>
      <x:c r="J109" s="51" t="n">
        <x:f>IF(D109="USD",G109,G109/H109)</x:f>
        <x:v>0</x:v>
      </x:c>
      <x:c r="K109" s="51" t="n">
        <x:f>J109-I109</x:f>
        <x:v>-5.33</x:v>
      </x:c>
      <x:c r="L109" s="48" t="str">
        <x:v>Salida</x:v>
      </x:c>
      <x:c r="M109" s="48" t="str">
        <x:v>Consumo personal</x:v>
      </x:c>
      <x:c r="N109" s="48" t="str">
        <x:v>Recuperable/personal</x:v>
      </x:c>
      <x:c r="O109" s="48" t="str">
        <x:v>Harrinton</x:v>
      </x:c>
      <x:c r="P109" s="48" t="str">
        <x:v>Agosto 2026</x:v>
      </x:c>
      <x:c r="Q109" s="52"/>
      <x:c r="R109" s="52" t="str">
        <x:v>Consumo personal</x:v>
      </x:c>
      <x:c r="S109" s="52" t="str">
        <x:v>Recuperable/personal</x:v>
      </x:c>
      <x:c r="T109" s="52" t="str">
        <x:v>Harrinton</x:v>
      </x:c>
      <x:c r="U109" s="52" t="str"/>
      <x:c r="V109" s="52"/>
      <x:c r="W109" s="52" t="str">
        <x:v>Pendiente</x:v>
      </x:c>
      <x:c r="X109" s="53"/>
    </x:row>
    <x:row r="110" ht="30" customHeight="1">
      <x:c r="A110" s="45" t="n">
        <x:v>77</x:v>
      </x:c>
      <x:c r="B110" s="46" t="n">
        <x:v>46257.75</x:v>
      </x:c>
      <x:c r="C110" s="47" t="str">
        <x:v>USD 34232261</x:v>
      </x:c>
      <x:c r="D110" s="47" t="str">
        <x:v>USD</x:v>
      </x:c>
      <x:c r="E110" s="48" t="str">
        <x:v>Don Vigoron Esteli</x:v>
      </x:c>
      <x:c r="F110" s="49" t="n">
        <x:v>8.23</x:v>
      </x:c>
      <x:c r="G110" s="49" t="n">
        <x:v>0</x:v>
      </x:c>
      <x:c r="H110" s="50" t="n">
        <x:v>1</x:v>
      </x:c>
      <x:c r="I110" s="51" t="n">
        <x:f>IF(D110="USD",F110,F110/H110)</x:f>
        <x:v>8.23</x:v>
      </x:c>
      <x:c r="J110" s="51" t="n">
        <x:f>IF(D110="USD",G110,G110/H110)</x:f>
        <x:v>0</x:v>
      </x:c>
      <x:c r="K110" s="51" t="n">
        <x:f>J110-I110</x:f>
        <x:v>-8.23</x:v>
      </x:c>
      <x:c r="L110" s="48" t="str">
        <x:v>Salida</x:v>
      </x:c>
      <x:c r="M110" s="48" t="str">
        <x:v>Consumo personal</x:v>
      </x:c>
      <x:c r="N110" s="48" t="str">
        <x:v>Recuperable/personal</x:v>
      </x:c>
      <x:c r="O110" s="48" t="str">
        <x:v>Harrinton</x:v>
      </x:c>
      <x:c r="P110" s="48" t="str">
        <x:v>Agosto 2026</x:v>
      </x:c>
      <x:c r="Q110" s="52"/>
      <x:c r="R110" s="52" t="str">
        <x:v>Consumo personal</x:v>
      </x:c>
      <x:c r="S110" s="52" t="str">
        <x:v>Recuperable/personal</x:v>
      </x:c>
      <x:c r="T110" s="52" t="str">
        <x:v>Harrinton</x:v>
      </x:c>
      <x:c r="U110" s="52" t="str"/>
      <x:c r="V110" s="52"/>
      <x:c r="W110" s="52" t="str">
        <x:v>Pendiente</x:v>
      </x:c>
      <x:c r="X110" s="53"/>
    </x:row>
    <x:row r="111" ht="30" customHeight="1">
      <x:c r="A111" s="45" t="n">
        <x:v>78</x:v>
      </x:c>
      <x:c r="B111" s="46" t="n">
        <x:v>46257.75</x:v>
      </x:c>
      <x:c r="C111" s="47" t="str">
        <x:v>USD 34232261</x:v>
      </x:c>
      <x:c r="D111" s="47" t="str">
        <x:v>USD</x:v>
      </x:c>
      <x:c r="E111" s="48" t="str">
        <x:v>ECSA UNO Esteli Norte</x:v>
      </x:c>
      <x:c r="F111" s="49" t="n">
        <x:v>8.23</x:v>
      </x:c>
      <x:c r="G111" s="49" t="n">
        <x:v>0</x:v>
      </x:c>
      <x:c r="H111" s="50" t="n">
        <x:v>1</x:v>
      </x:c>
      <x:c r="I111" s="51" t="n">
        <x:f>IF(D111="USD",F111,F111/H111)</x:f>
        <x:v>8.23</x:v>
      </x:c>
      <x:c r="J111" s="51" t="n">
        <x:f>IF(D111="USD",G111,G111/H111)</x:f>
        <x:v>0</x:v>
      </x:c>
      <x:c r="K111" s="51" t="n">
        <x:f>J111-I111</x:f>
        <x:v>-8.23</x:v>
      </x:c>
      <x:c r="L111" s="48" t="str">
        <x:v>Salida</x:v>
      </x:c>
      <x:c r="M111" s="48" t="str">
        <x:v>Combustible</x:v>
      </x:c>
      <x:c r="N111" s="48" t="str">
        <x:v>Gasto empresarial</x:v>
      </x:c>
      <x:c r="O111" s="48" t="str"/>
      <x:c r="P111" s="48" t="str">
        <x:v>Agosto 2026</x:v>
      </x:c>
      <x:c r="Q111" s="52"/>
      <x:c r="R111" s="52" t="str">
        <x:v>Combustible</x:v>
      </x:c>
      <x:c r="S111" s="52" t="str">
        <x:v>Gasto empresarial</x:v>
      </x:c>
      <x:c r="T111" s="52" t="str"/>
      <x:c r="U111" s="52" t="str"/>
      <x:c r="V111" s="52"/>
      <x:c r="W111" s="52" t="str">
        <x:v>Pendiente</x:v>
      </x:c>
      <x:c r="X111" s="53"/>
    </x:row>
    <x:row r="112" ht="30" customHeight="1">
      <x:c r="A112" s="45" t="n">
        <x:v>79</x:v>
      </x:c>
      <x:c r="B112" s="46" t="n">
        <x:v>46257.75</x:v>
      </x:c>
      <x:c r="C112" s="47" t="str">
        <x:v>USD 34232261</x:v>
      </x:c>
      <x:c r="D112" s="47" t="str">
        <x:v>USD</x:v>
      </x:c>
      <x:c r="E112" s="48" t="str">
        <x:v>Retiro ATM El Rosario</x:v>
      </x:c>
      <x:c r="F112" s="49" t="n">
        <x:v>54.86</x:v>
      </x:c>
      <x:c r="G112" s="49" t="n">
        <x:v>0</x:v>
      </x:c>
      <x:c r="H112" s="50" t="n">
        <x:v>1</x:v>
      </x:c>
      <x:c r="I112" s="51" t="n">
        <x:f>IF(D112="USD",F112,F112/H112)</x:f>
        <x:v>54.86</x:v>
      </x:c>
      <x:c r="J112" s="51" t="n">
        <x:f>IF(D112="USD",G112,G112/H112)</x:f>
        <x:v>0</x:v>
      </x:c>
      <x:c r="K112" s="51" t="n">
        <x:f>J112-I112</x:f>
        <x:v>-54.86</x:v>
      </x:c>
      <x:c r="L112" s="48" t="str">
        <x:v>Salida</x:v>
      </x:c>
      <x:c r="M112" s="48" t="str">
        <x:v>Caja chica</x:v>
      </x:c>
      <x:c r="N112" s="48" t="str">
        <x:v>Fondo por liquidar</x:v>
      </x:c>
      <x:c r="O112" s="48" t="str">
        <x:v>Caja chica</x:v>
      </x:c>
      <x:c r="P112" s="48" t="str">
        <x:v>Agosto 2026</x:v>
      </x:c>
      <x:c r="Q112" s="52"/>
      <x:c r="R112" s="52" t="str">
        <x:v>Caja chica</x:v>
      </x:c>
      <x:c r="S112" s="52" t="str">
        <x:v>Fondo por liquidar</x:v>
      </x:c>
      <x:c r="T112" s="52" t="str">
        <x:v>Caja chica</x:v>
      </x:c>
      <x:c r="U112" s="52" t="str"/>
      <x:c r="V112" s="52"/>
      <x:c r="W112" s="52" t="str">
        <x:v>Pendiente</x:v>
      </x:c>
      <x:c r="X112" s="53"/>
    </x:row>
    <x:row r="113" ht="30" customHeight="1">
      <x:c r="A113" s="45" t="n">
        <x:v>80</x:v>
      </x:c>
      <x:c r="B113" s="46" t="n">
        <x:v>46257.75</x:v>
      </x:c>
      <x:c r="C113" s="47" t="str">
        <x:v>USD 34232261</x:v>
      </x:c>
      <x:c r="D113" s="47" t="str">
        <x:v>USD</x:v>
      </x:c>
      <x:c r="E113" s="48" t="str">
        <x:v>Comision retiro ATM</x:v>
      </x:c>
      <x:c r="F113" s="49" t="n">
        <x:v>0.03</x:v>
      </x:c>
      <x:c r="G113" s="49" t="n">
        <x:v>0</x:v>
      </x:c>
      <x:c r="H113" s="50" t="n">
        <x:v>1</x:v>
      </x:c>
      <x:c r="I113" s="51" t="n">
        <x:f>IF(D113="USD",F113,F113/H113)</x:f>
        <x:v>0.03</x:v>
      </x:c>
      <x:c r="J113" s="51" t="n">
        <x:f>IF(D113="USD",G113,G113/H113)</x:f>
        <x:v>0</x:v>
      </x:c>
      <x:c r="K113" s="51" t="n">
        <x:f>J113-I113</x:f>
        <x:v>-0.03</x:v>
      </x:c>
      <x:c r="L113" s="48" t="str">
        <x:v>Salida</x:v>
      </x:c>
      <x:c r="M113" s="48" t="str">
        <x:v>Comisiones bancarias</x:v>
      </x:c>
      <x:c r="N113" s="48" t="str">
        <x:v>Gasto empresarial</x:v>
      </x:c>
      <x:c r="O113" s="48" t="str">
        <x:v>Banco</x:v>
      </x:c>
      <x:c r="P113" s="48" t="str">
        <x:v>Agosto 2026</x:v>
      </x:c>
      <x:c r="Q113" s="52"/>
      <x:c r="R113" s="52" t="str">
        <x:v>Comisiones bancarias</x:v>
      </x:c>
      <x:c r="S113" s="52" t="str">
        <x:v>Gasto empresarial</x:v>
      </x:c>
      <x:c r="T113" s="52" t="str">
        <x:v>Banco</x:v>
      </x:c>
      <x:c r="U113" s="52" t="str"/>
      <x:c r="V113" s="52"/>
      <x:c r="W113" s="52" t="str">
        <x:v>Pendiente</x:v>
      </x:c>
      <x:c r="X113" s="53"/>
    </x:row>
    <x:row r="114" ht="30" customHeight="1">
      <x:c r="A114" s="45" t="n">
        <x:v>81</x:v>
      </x:c>
      <x:c r="B114" s="46" t="n">
        <x:v>46257.75</x:v>
      </x:c>
      <x:c r="C114" s="47" t="str">
        <x:v>USD 34232261</x:v>
      </x:c>
      <x:c r="D114" s="47" t="str">
        <x:v>USD</x:v>
      </x:c>
      <x:c r="E114" s="48" t="str">
        <x:v>Teriyaki Esteli</x:v>
      </x:c>
      <x:c r="F114" s="49" t="n">
        <x:v>13.44</x:v>
      </x:c>
      <x:c r="G114" s="49" t="n">
        <x:v>0</x:v>
      </x:c>
      <x:c r="H114" s="50" t="n">
        <x:v>1</x:v>
      </x:c>
      <x:c r="I114" s="51" t="n">
        <x:f>IF(D114="USD",F114,F114/H114)</x:f>
        <x:v>13.44</x:v>
      </x:c>
      <x:c r="J114" s="51" t="n">
        <x:f>IF(D114="USD",G114,G114/H114)</x:f>
        <x:v>0</x:v>
      </x:c>
      <x:c r="K114" s="51" t="n">
        <x:f>J114-I114</x:f>
        <x:v>-13.44</x:v>
      </x:c>
      <x:c r="L114" s="48" t="str">
        <x:v>Salida</x:v>
      </x:c>
      <x:c r="M114" s="48" t="str">
        <x:v>Consumo personal</x:v>
      </x:c>
      <x:c r="N114" s="48" t="str">
        <x:v>Recuperable/personal</x:v>
      </x:c>
      <x:c r="O114" s="48" t="str">
        <x:v>Harrinton</x:v>
      </x:c>
      <x:c r="P114" s="48" t="str">
        <x:v>Agosto 2026</x:v>
      </x:c>
      <x:c r="Q114" s="52"/>
      <x:c r="R114" s="52" t="str">
        <x:v>Consumo personal</x:v>
      </x:c>
      <x:c r="S114" s="52" t="str">
        <x:v>Recuperable/personal</x:v>
      </x:c>
      <x:c r="T114" s="52" t="str">
        <x:v>Harrinton</x:v>
      </x:c>
      <x:c r="U114" s="52" t="str"/>
      <x:c r="V114" s="52"/>
      <x:c r="W114" s="52" t="str">
        <x:v>Pendiente</x:v>
      </x:c>
      <x:c r="X114" s="53"/>
    </x:row>
    <x:row r="115" ht="30" customHeight="1">
      <x:c r="A115" s="45" t="n">
        <x:v>82</x:v>
      </x:c>
      <x:c r="B115" s="46" t="n">
        <x:v>46258.75</x:v>
      </x:c>
      <x:c r="C115" s="47" t="str">
        <x:v>USD 34232261</x:v>
      </x:c>
      <x:c r="D115" s="47" t="str">
        <x:v>USD</x:v>
      </x:c>
      <x:c r="E115" s="48" t="str">
        <x:v>Reversion Spotify</x:v>
      </x:c>
      <x:c r="F115" s="49" t="n">
        <x:v>0</x:v>
      </x:c>
      <x:c r="G115" s="49" t="n">
        <x:v>2</x:v>
      </x:c>
      <x:c r="H115" s="50" t="n">
        <x:v>1</x:v>
      </x:c>
      <x:c r="I115" s="51" t="n">
        <x:f>IF(D115="USD",F115,F115/H115)</x:f>
        <x:v>0</x:v>
      </x:c>
      <x:c r="J115" s="51" t="n">
        <x:f>IF(D115="USD",G115,G115/H115)</x:f>
        <x:v>2</x:v>
      </x:c>
      <x:c r="K115" s="51" t="n">
        <x:f>J115-I115</x:f>
        <x:v>2</x:v>
      </x:c>
      <x:c r="L115" s="48" t="str">
        <x:v>Entrada</x:v>
      </x:c>
      <x:c r="M115" s="48" t="str">
        <x:v>Reversion/reembolso</x:v>
      </x:c>
      <x:c r="N115" s="48" t="str">
        <x:v>Reduce gasto</x:v>
      </x:c>
      <x:c r="O115" s="48" t="str">
        <x:v>Spotify</x:v>
      </x:c>
      <x:c r="P115" s="48" t="str">
        <x:v>Agosto 2026</x:v>
      </x:c>
      <x:c r="Q115" s="52"/>
      <x:c r="R115" s="52" t="str">
        <x:v>Reversion/reembolso</x:v>
      </x:c>
      <x:c r="S115" s="52" t="str">
        <x:v>Reduce gasto</x:v>
      </x:c>
      <x:c r="T115" s="52" t="str">
        <x:v>Spotify</x:v>
      </x:c>
      <x:c r="U115" s="52" t="str"/>
      <x:c r="V115" s="52"/>
      <x:c r="W115" s="52" t="str">
        <x:v>Revisado</x:v>
      </x:c>
      <x:c r="X115" s="53"/>
    </x:row>
    <x:row r="116" ht="30" customHeight="1">
      <x:c r="A116" s="45" t="n">
        <x:v>83</x:v>
      </x:c>
      <x:c r="B116" s="46" t="n">
        <x:v>46258.75</x:v>
      </x:c>
      <x:c r="C116" s="47" t="str">
        <x:v>USD 34232261</x:v>
      </x:c>
      <x:c r="D116" s="47" t="str">
        <x:v>USD</x:v>
      </x:c>
      <x:c r="E116" s="48" t="str">
        <x:v>Spotify</x:v>
      </x:c>
      <x:c r="F116" s="49" t="n">
        <x:v>2</x:v>
      </x:c>
      <x:c r="G116" s="49" t="n">
        <x:v>0</x:v>
      </x:c>
      <x:c r="H116" s="50" t="n">
        <x:v>1</x:v>
      </x:c>
      <x:c r="I116" s="51" t="n">
        <x:f>IF(D116="USD",F116,F116/H116)</x:f>
        <x:v>2</x:v>
      </x:c>
      <x:c r="J116" s="51" t="n">
        <x:f>IF(D116="USD",G116,G116/H116)</x:f>
        <x:v>0</x:v>
      </x:c>
      <x:c r="K116" s="51" t="n">
        <x:f>J116-I116</x:f>
        <x:v>-2</x:v>
      </x:c>
      <x:c r="L116" s="48" t="str">
        <x:v>Salida</x:v>
      </x:c>
      <x:c r="M116" s="48" t="str">
        <x:v>Software y suscripciones</x:v>
      </x:c>
      <x:c r="N116" s="48" t="str">
        <x:v>Pendiente</x:v>
      </x:c>
      <x:c r="O116" s="48" t="str">
        <x:v>Harrinton</x:v>
      </x:c>
      <x:c r="P116" s="48" t="str">
        <x:v>Agosto 2026</x:v>
      </x:c>
      <x:c r="Q116" s="52"/>
      <x:c r="R116" s="52" t="str">
        <x:v>Software y suscripciones</x:v>
      </x:c>
      <x:c r="S116" s="52" t="str">
        <x:v>Pendiente</x:v>
      </x:c>
      <x:c r="T116" s="52" t="str">
        <x:v>Harrinton</x:v>
      </x:c>
      <x:c r="U116" s="52" t="str"/>
      <x:c r="V116" s="52"/>
      <x:c r="W116" s="52" t="str">
        <x:v>Pendiente</x:v>
      </x:c>
      <x:c r="X116" s="53"/>
    </x:row>
    <x:row r="117" ht="30" customHeight="1">
      <x:c r="A117" s="45" t="n">
        <x:v>84</x:v>
      </x:c>
      <x:c r="B117" s="46" t="n">
        <x:v>46258.75</x:v>
      </x:c>
      <x:c r="C117" s="47" t="str">
        <x:v>USD 34232261</x:v>
      </x:c>
      <x:c r="D117" s="47" t="str">
        <x:v>USD</x:v>
      </x:c>
      <x:c r="E117" s="48" t="str">
        <x:v>Miscelanea Buen Precio</x:v>
      </x:c>
      <x:c r="F117" s="49" t="n">
        <x:v>12.75</x:v>
      </x:c>
      <x:c r="G117" s="49" t="n">
        <x:v>0</x:v>
      </x:c>
      <x:c r="H117" s="50" t="n">
        <x:v>1</x:v>
      </x:c>
      <x:c r="I117" s="51" t="n">
        <x:f>IF(D117="USD",F117,F117/H117)</x:f>
        <x:v>12.75</x:v>
      </x:c>
      <x:c r="J117" s="51" t="n">
        <x:f>IF(D117="USD",G117,G117/H117)</x:f>
        <x:v>0</x:v>
      </x:c>
      <x:c r="K117" s="51" t="n">
        <x:f>J117-I117</x:f>
        <x:v>-12.75</x:v>
      </x:c>
      <x:c r="L117" s="48" t="str">
        <x:v>Salida</x:v>
      </x:c>
      <x:c r="M117" s="48" t="str">
        <x:v>Consumo personal</x:v>
      </x:c>
      <x:c r="N117" s="48" t="str">
        <x:v>Recuperable/personal</x:v>
      </x:c>
      <x:c r="O117" s="48" t="str">
        <x:v>Harrinton</x:v>
      </x:c>
      <x:c r="P117" s="48" t="str">
        <x:v>Agosto 2026</x:v>
      </x:c>
      <x:c r="Q117" s="52"/>
      <x:c r="R117" s="52" t="str">
        <x:v>Consumo personal</x:v>
      </x:c>
      <x:c r="S117" s="52" t="str">
        <x:v>Recuperable/personal</x:v>
      </x:c>
      <x:c r="T117" s="52" t="str">
        <x:v>Harrinton</x:v>
      </x:c>
      <x:c r="U117" s="52" t="str"/>
      <x:c r="V117" s="52"/>
      <x:c r="W117" s="52" t="str">
        <x:v>Pendiente</x:v>
      </x:c>
      <x:c r="X117" s="53"/>
    </x:row>
    <x:row r="118" ht="30" customHeight="1">
      <x:c r="A118" s="54" t="n">
        <x:v>85</x:v>
      </x:c>
      <x:c r="B118" s="55" t="n">
        <x:v>46258.75</x:v>
      </x:c>
      <x:c r="C118" s="56" t="str">
        <x:v>USD 34232261</x:v>
      </x:c>
      <x:c r="D118" s="56" t="str">
        <x:v>USD</x:v>
      </x:c>
      <x:c r="E118" s="57" t="str">
        <x:v>Compra de paquete Tigo</x:v>
      </x:c>
      <x:c r="F118" s="58" t="n">
        <x:v>6.04</x:v>
      </x:c>
      <x:c r="G118" s="58" t="n">
        <x:v>0</x:v>
      </x:c>
      <x:c r="H118" s="59" t="n">
        <x:v>1</x:v>
      </x:c>
      <x:c r="I118" s="60" t="n">
        <x:f>IF(D118="USD",F118,F118/H118)</x:f>
        <x:v>6.04</x:v>
      </x:c>
      <x:c r="J118" s="60" t="n">
        <x:f>IF(D118="USD",G118,G118/H118)</x:f>
        <x:v>0</x:v>
      </x:c>
      <x:c r="K118" s="60" t="n">
        <x:f>J118-I118</x:f>
        <x:v>-6.04</x:v>
      </x:c>
      <x:c r="L118" s="57" t="str">
        <x:v>Salida</x:v>
      </x:c>
      <x:c r="M118" s="57" t="str">
        <x:v>Telecomunicaciones</x:v>
      </x:c>
      <x:c r="N118" s="57" t="str">
        <x:v>Pendiente</x:v>
      </x:c>
      <x:c r="O118" s="57" t="str">
        <x:v>Harrinton</x:v>
      </x:c>
      <x:c r="P118" s="57" t="str">
        <x:v>Agosto 2026</x:v>
      </x:c>
      <x:c r="Q118" s="61"/>
      <x:c r="R118" s="61" t="str">
        <x:v>Telecomunicaciones</x:v>
      </x:c>
      <x:c r="S118" s="61" t="str">
        <x:v>Pendiente</x:v>
      </x:c>
      <x:c r="T118" s="61" t="str">
        <x:v>Harrinton</x:v>
      </x:c>
      <x:c r="U118" s="61" t="str"/>
      <x:c r="V118" s="61"/>
      <x:c r="W118" s="61" t="str">
        <x:v>Pendiente</x:v>
      </x:c>
      <x:c r="X118" s="62"/>
    </x:row>
  </x:sheetData>
  <x:mergeCells>
    <x:mergeCell ref="A1:X1"/>
    <x:mergeCell ref="A2:X2"/>
  </x:mergeCells>
  <x:conditionalFormatting sqref="W6:W118">
    <x:cfRule type="containsText" dxfId="0" priority="1" operator="containsText" text="Pendiente"/>
    <x:cfRule type="containsText" dxfId="1" priority="2" operator="containsText" text="Justificado"/>
  </x:conditionalFormatting>
  <x:dataValidations count="3">
    <x:dataValidation type="list" sqref="R6:R118">
      <x:formula1>'Catalogos'!$A$2:$A$39</x:formula1>
    </x:dataValidation>
    <x:dataValidation type="list" sqref="S6:S118">
      <x:formula1>'Catalogos'!$B$2:$B$14</x:formula1>
    </x:dataValidation>
    <x:dataValidation type="list" sqref="W6:W118">
      <x:formula1>'Catalogos'!$C$2:$C$6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ba1e70bcdcf42f7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6" hidden="0" customWidth="1"/>
    <x:col min="3" max="3" width="26" hidden="0" customWidth="1"/>
  </x:cols>
  <x:sheetData>
    <x:row r="1">
      <x:c r="A1" s="3" t="str">
        <x:v>Categorias</x:v>
      </x:c>
      <x:c r="B1" s="4" t="str">
        <x:v>Tratamientos</x:v>
      </x:c>
      <x:c r="C1" s="5" t="str">
        <x:v>Estados de revision</x:v>
      </x:c>
    </x:row>
    <x:row r="2">
      <x:c r="A2" s="6" t="str">
        <x:v>Anticipo mantenimiento vehiculo</x:v>
      </x:c>
      <x:c r="B2" s="7" t="str">
        <x:v>Gasto empresarial</x:v>
      </x:c>
      <x:c r="C2" s="8" t="str">
        <x:v>Pendiente</x:v>
      </x:c>
    </x:row>
    <x:row r="3">
      <x:c r="A3" s="6" t="str">
        <x:v>Anticipo por liquidar</x:v>
      </x:c>
      <x:c r="B3" s="7" t="str">
        <x:v>Ingreso empresarial</x:v>
      </x:c>
      <x:c r="C3" s="8" t="str">
        <x:v>Justificado</x:v>
      </x:c>
    </x:row>
    <x:row r="4">
      <x:c r="A4" s="6" t="str">
        <x:v>Caja chica</x:v>
      </x:c>
      <x:c r="B4" s="7" t="str">
        <x:v>Cuenta por cobrar</x:v>
      </x:c>
      <x:c r="C4" s="8" t="str">
        <x:v>Revisado</x:v>
      </x:c>
    </x:row>
    <x:row r="5">
      <x:c r="A5" s="6" t="str">
        <x:v>Combustible</x:v>
      </x:c>
      <x:c r="B5" s="7" t="str">
        <x:v>Fondo por liquidar</x:v>
      </x:c>
      <x:c r="C5" s="8" t="str">
        <x:v>Requiere comprobante</x:v>
      </x:c>
    </x:row>
    <x:row r="6">
      <x:c r="A6" s="6" t="str">
        <x:v>Combustible entregado</x:v>
      </x:c>
      <x:c r="B6" s="7" t="str">
        <x:v>Recuperable/personal</x:v>
      </x:c>
      <x:c r="C6" s="8" t="str">
        <x:v>Descartado</x:v>
      </x:c>
    </x:row>
    <x:row r="7">
      <x:c r="A7" s="6" t="str">
        <x:v>Combustible y viaticos</x:v>
      </x:c>
      <x:c r="B7" s="7" t="str">
        <x:v>No es ingreso ni gasto</x:v>
      </x:c>
      <x:c r="C7" s="8"/>
    </x:row>
    <x:row r="8">
      <x:c r="A8" s="6" t="str">
        <x:v>Comisiones bancarias</x:v>
      </x:c>
      <x:c r="B8" s="7" t="str">
        <x:v>No es ingreso empresarial</x:v>
      </x:c>
      <x:c r="C8" s="8"/>
    </x:row>
    <x:row r="9">
      <x:c r="A9" s="6" t="str">
        <x:v>Comisiones e impuestos bancarios</x:v>
      </x:c>
      <x:c r="B9" s="7" t="str">
        <x:v>No es ingreso de agosto</x:v>
      </x:c>
      <x:c r="C9" s="8"/>
    </x:row>
    <x:row r="10">
      <x:c r="A10" s="6" t="str">
        <x:v>Consumo personal</x:v>
      </x:c>
      <x:c r="B10" s="7" t="str">
        <x:v>Gasto periodo anterior</x:v>
      </x:c>
      <x:c r="C10" s="8"/>
    </x:row>
    <x:row r="11">
      <x:c r="A11" s="6" t="str">
        <x:v>Consumo personal recuperable</x:v>
      </x:c>
      <x:c r="B11" s="7" t="str">
        <x:v>Ingreso financiero</x:v>
      </x:c>
      <x:c r="C11" s="8"/>
    </x:row>
    <x:row r="12">
      <x:c r="A12" s="6" t="str">
        <x:v>Entrada no comercial</x:v>
      </x:c>
      <x:c r="B12" s="7" t="str">
        <x:v>Reduce gasto</x:v>
      </x:c>
      <x:c r="C12" s="8"/>
    </x:row>
    <x:row r="13">
      <x:c r="A13" s="6" t="str">
        <x:v>Entrada personal</x:v>
      </x:c>
      <x:c r="B13" s="7" t="str">
        <x:v>Mixto</x:v>
      </x:c>
      <x:c r="C13" s="8"/>
    </x:row>
    <x:row r="14">
      <x:c r="A14" s="6" t="str">
        <x:v>Equipos de proyecto</x:v>
      </x:c>
      <x:c r="B14" s="7" t="str">
        <x:v>Pendiente</x:v>
      </x:c>
      <x:c r="C14" s="8"/>
    </x:row>
    <x:row r="15">
      <x:c r="A15" s="6" t="str">
        <x:v>Fondos de periodo anterior</x:v>
      </x:c>
      <x:c r="B15" s="7"/>
      <x:c r="C15" s="8"/>
    </x:row>
    <x:row r="16">
      <x:c r="A16" s="6" t="str">
        <x:v>Gasto empresarial</x:v>
      </x:c>
      <x:c r="B16" s="7"/>
      <x:c r="C16" s="8"/>
    </x:row>
    <x:row r="17">
      <x:c r="A17" s="6" t="str">
        <x:v>Ingreso cliente</x:v>
      </x:c>
      <x:c r="B17" s="7"/>
      <x:c r="C17" s="8"/>
    </x:row>
    <x:row r="18">
      <x:c r="A18" s="6" t="str">
        <x:v>Intereses bancarios</x:v>
      </x:c>
      <x:c r="B18" s="7"/>
      <x:c r="C18" s="8"/>
    </x:row>
    <x:row r="19">
      <x:c r="A19" s="6" t="str">
        <x:v>Mixto: viatico y recuperable</x:v>
      </x:c>
      <x:c r="B19" s="7"/>
      <x:c r="C19" s="8"/>
    </x:row>
    <x:row r="20">
      <x:c r="A20" s="6" t="str">
        <x:v>Nomina</x:v>
      </x:c>
      <x:c r="B20" s="7"/>
      <x:c r="C20" s="8"/>
    </x:row>
    <x:row r="21">
      <x:c r="A21" s="6" t="str">
        <x:v>Nomina atrasada</x:v>
      </x:c>
      <x:c r="B21" s="7"/>
      <x:c r="C21" s="8"/>
    </x:row>
    <x:row r="22">
      <x:c r="A22" s="6" t="str">
        <x:v>Nomina corriente</x:v>
      </x:c>
      <x:c r="B22" s="7"/>
      <x:c r="C22" s="8"/>
    </x:row>
    <x:row r="23">
      <x:c r="A23" s="6" t="str">
        <x:v>Pago de deuda personal</x:v>
      </x:c>
      <x:c r="B23" s="7"/>
      <x:c r="C23" s="8"/>
    </x:row>
    <x:row r="24">
      <x:c r="A24" s="6" t="str">
        <x:v>Pendiente de clasificar</x:v>
      </x:c>
      <x:c r="B24" s="7"/>
      <x:c r="C24" s="8"/>
    </x:row>
    <x:row r="25">
      <x:c r="A25" s="6" t="str">
        <x:v>Prestamo</x:v>
      </x:c>
      <x:c r="B25" s="7"/>
      <x:c r="C25" s="8"/>
    </x:row>
    <x:row r="26">
      <x:c r="A26" s="6" t="str">
        <x:v>Prestamo a empleado</x:v>
      </x:c>
      <x:c r="B26" s="7"/>
      <x:c r="C26" s="8"/>
    </x:row>
    <x:row r="27">
      <x:c r="A27" s="6" t="str">
        <x:v>Publicidad</x:v>
      </x:c>
      <x:c r="B27" s="7"/>
      <x:c r="C27" s="8"/>
    </x:row>
    <x:row r="28">
      <x:c r="A28" s="6" t="str">
        <x:v>Renta de modulo</x:v>
      </x:c>
      <x:c r="B28" s="7"/>
      <x:c r="C28" s="8"/>
    </x:row>
    <x:row r="29">
      <x:c r="A29" s="6" t="str">
        <x:v>Retiro para nomina</x:v>
      </x:c>
      <x:c r="B29" s="7"/>
      <x:c r="C29" s="8"/>
    </x:row>
    <x:row r="30">
      <x:c r="A30" s="6" t="str">
        <x:v>Retiro sin justificar</x:v>
      </x:c>
      <x:c r="B30" s="7"/>
      <x:c r="C30" s="8"/>
    </x:row>
    <x:row r="31">
      <x:c r="A31" s="6" t="str">
        <x:v>Reversion/reembolso</x:v>
      </x:c>
      <x:c r="B31" s="7"/>
      <x:c r="C31" s="8"/>
    </x:row>
    <x:row r="32">
      <x:c r="A32" s="6" t="str">
        <x:v>Servicio sin identificar</x:v>
      </x:c>
      <x:c r="B32" s="7"/>
      <x:c r="C32" s="8"/>
    </x:row>
    <x:row r="33">
      <x:c r="A33" s="6" t="str">
        <x:v>Software y suscripciones</x:v>
      </x:c>
      <x:c r="B33" s="7"/>
      <x:c r="C33" s="8"/>
    </x:row>
    <x:row r="34">
      <x:c r="A34" s="6" t="str">
        <x:v>Telecomunicaciones</x:v>
      </x:c>
      <x:c r="B34" s="7"/>
      <x:c r="C34" s="8"/>
    </x:row>
    <x:row r="35">
      <x:c r="A35" s="6" t="str">
        <x:v>Transferencia interna</x:v>
      </x:c>
      <x:c r="B35" s="7"/>
      <x:c r="C35" s="8"/>
    </x:row>
    <x:row r="36">
      <x:c r="A36" s="6" t="str">
        <x:v>Viaticos</x:v>
      </x:c>
      <x:c r="B36" s="7"/>
      <x:c r="C36" s="8"/>
    </x:row>
    <x:row r="37">
      <x:c r="A37" s="6" t="str">
        <x:v>Viaticos - alimentacion</x:v>
      </x:c>
      <x:c r="B37" s="7"/>
      <x:c r="C37" s="8"/>
    </x:row>
    <x:row r="38">
      <x:c r="A38" s="6" t="str">
        <x:v>Viaticos - hotel</x:v>
      </x:c>
      <x:c r="B38" s="7"/>
      <x:c r="C38" s="8"/>
    </x:row>
    <x:row r="39">
      <x:c r="A39" s="9" t="str">
        <x:v>Viaticos en efectivo</x:v>
      </x:c>
      <x:c r="B39" s="10"/>
      <x:c r="C39" s="11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</x:cols>
  <x:sheetData>
    <x:row r="1">
      <x:c r="A1" s="79" t="str">
        <x:v>CONTROLES DE INTEGRIDAD</x:v>
      </x:c>
      <x:c r="B1" s="79"/>
      <x:c r="C1" s="79"/>
      <x:c r="D1" s="79"/>
      <x:c r="E1" s="79"/>
      <x:c r="F1" s="79"/>
    </x:row>
    <x:row r="3">
      <x:c r="A3" s="80" t="str">
        <x:v>Control</x:v>
      </x:c>
      <x:c r="B3" s="81" t="str">
        <x:v>Actual</x:v>
      </x:c>
      <x:c r="C3" s="81" t="str">
        <x:v>Esperado</x:v>
      </x:c>
      <x:c r="D3" s="81" t="str">
        <x:v>Diferencia</x:v>
      </x:c>
      <x:c r="E3" s="81" t="str">
        <x:v>Tolerancia</x:v>
      </x:c>
      <x:c r="F3" s="82" t="str">
        <x:v>Estado</x:v>
      </x:c>
    </x:row>
    <x:row r="4">
      <x:c r="A4" s="6" t="str">
        <x:v>Debitos cuenta USD</x:v>
      </x:c>
      <x:c r="B4" s="83" t="n">
        <x:f>'Resumen'!E5</x:f>
        <x:v>5561.999999999997</x:v>
      </x:c>
      <x:c r="C4" s="83" t="n">
        <x:v>5562</x:v>
      </x:c>
      <x:c r="D4" s="83" t="n">
        <x:f>B4-C4</x:f>
        <x:v>-2.7284841053187847e-12</x:v>
      </x:c>
      <x:c r="E4" s="83" t="n">
        <x:v>0.01</x:v>
      </x:c>
      <x:c r="F4" s="8" t="str">
        <x:f>IF(ABS(D4)&lt;=E4,"OK","REVISAR")</x:f>
        <x:v>OK</x:v>
      </x:c>
    </x:row>
    <x:row r="5">
      <x:c r="A5" s="6" t="str">
        <x:v>Creditos cuenta USD</x:v>
      </x:c>
      <x:c r="B5" s="83" t="n">
        <x:f>'Resumen'!E6</x:f>
        <x:v>6539.990000000001</x:v>
      </x:c>
      <x:c r="C5" s="83" t="n">
        <x:v>6539.99</x:v>
      </x:c>
      <x:c r="D5" s="83" t="n">
        <x:f>B5-C5</x:f>
        <x:v>9.094947017729282e-13</x:v>
      </x:c>
      <x:c r="E5" s="83" t="n">
        <x:v>0.01</x:v>
      </x:c>
      <x:c r="F5" s="8" t="str">
        <x:f>IF(ABS(D5)&lt;=E5,"OK","REVISAR")</x:f>
        <x:v>OK</x:v>
      </x:c>
    </x:row>
    <x:row r="6">
      <x:c r="A6" s="6" t="str">
        <x:v>Debitos cuenta NIO</x:v>
      </x:c>
      <x:c r="B6" s="83" t="n">
        <x:f>'Resumen'!E7</x:f>
        <x:v>27671.629999999997</x:v>
      </x:c>
      <x:c r="C6" s="83" t="n">
        <x:v>27671.63</x:v>
      </x:c>
      <x:c r="D6" s="83" t="n">
        <x:f>B6-C6</x:f>
        <x:v>-3.637978807091713e-12</x:v>
      </x:c>
      <x:c r="E6" s="83" t="n">
        <x:v>0.01</x:v>
      </x:c>
      <x:c r="F6" s="8" t="str">
        <x:f>IF(ABS(D6)&lt;=E6,"OK","REVISAR")</x:f>
        <x:v>OK</x:v>
      </x:c>
    </x:row>
    <x:row r="7">
      <x:c r="A7" s="6" t="str">
        <x:v>Creditos cuenta NIO</x:v>
      </x:c>
      <x:c r="B7" s="83" t="n">
        <x:f>'Resumen'!E8</x:f>
        <x:v>28274.05</x:v>
      </x:c>
      <x:c r="C7" s="83" t="n">
        <x:v>28274.05</x:v>
      </x:c>
      <x:c r="D7" s="83" t="n">
        <x:f>B7-C7</x:f>
        <x:v>0</x:v>
      </x:c>
      <x:c r="E7" s="83" t="n">
        <x:v>0.01</x:v>
      </x:c>
      <x:c r="F7" s="8" t="str">
        <x:f>IF(ABS(D7)&lt;=E7,"OK","REVISAR")</x:f>
        <x:v>OK</x:v>
      </x:c>
    </x:row>
    <x:row r="8">
      <x:c r="A8" s="6"/>
      <x:c r="B8" s="7"/>
      <x:c r="C8" s="7"/>
      <x:c r="D8" s="7"/>
      <x:c r="E8" s="7"/>
      <x:c r="F8" s="8"/>
    </x:row>
    <x:row r="9">
      <x:c r="A9" s="9" t="str">
        <x:v>ESTADO GENERAL</x:v>
      </x:c>
      <x:c r="B9" s="10" t="str">
        <x:f>IF(COUNTIF(F4:F7,"REVISAR")=0,"OK","REVISAR")</x:f>
        <x:v>OK</x:v>
      </x:c>
      <x:c r="C9" s="10"/>
      <x:c r="D9" s="10"/>
      <x:c r="E9" s="10"/>
      <x:c r="F9" s="11"/>
    </x:row>
  </x:sheetData>
  <x:mergeCells>
    <x:mergeCell ref="A1:F1"/>
  </x:mergeCells>
  <x:conditionalFormatting sqref="F4:F7">
    <x:cfRule type="containsText" dxfId="2" priority="1" operator="containsText" text="OK"/>
    <x:cfRule type="containsText" dxfId="3" priority="2" operator="containsText" text="REVISAR"/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45" hidden="0" customWidth="1"/>
  </x:cols>
  <x:sheetData>
    <x:row r="1">
      <x:c r="A1" s="3" t="str">
        <x:v>Fuente</x:v>
      </x:c>
      <x:c r="B1" s="4" t="str">
        <x:v>Cuenta</x:v>
      </x:c>
      <x:c r="C1" s="4" t="str">
        <x:v>Moneda</x:v>
      </x:c>
      <x:c r="D1" s="4" t="str">
        <x:v>Periodo usado</x:v>
      </x:c>
      <x:c r="E1" s="4" t="str">
        <x:v>Fecha de revision</x:v>
      </x:c>
      <x:c r="F1" s="5" t="str">
        <x:v>Notas</x:v>
      </x:c>
    </x:row>
    <x:row r="2">
      <x:c r="A2" s="6" t="str">
        <x:v>Movimientos northlink .pdf</x:v>
      </x:c>
      <x:c r="B2" s="7" t="str">
        <x:v>34232261</x:v>
      </x:c>
      <x:c r="C2" s="7" t="str">
        <x:v>USD</x:v>
      </x:c>
      <x:c r="D2" s="7" t="str">
        <x:v>2026-08-01 a 2026-08-24</x:v>
      </x:c>
      <x:c r="E2" s="84" t="n">
        <x:v>46259.75</x:v>
      </x:c>
      <x:c r="F2" s="86" t="str">
        <x:v>Movimientos extraidos del estado Banco LAFISE.</x:v>
      </x:c>
    </x:row>
    <x:row r="3">
      <x:c r="A3" s="9" t="str">
        <x:v>Movimientos_1787632141382.pdf</x:v>
      </x:c>
      <x:c r="B3" s="10" t="str">
        <x:v>39081312</x:v>
      </x:c>
      <x:c r="C3" s="10" t="str">
        <x:v>NIO</x:v>
      </x:c>
      <x:c r="D3" s="10" t="str">
        <x:v>2026-08-01 a 2026-08-19</x:v>
      </x:c>
      <x:c r="E3" s="85" t="n">
        <x:v>46259.75</x:v>
      </x:c>
      <x:c r="F3" s="87" t="str">
        <x:v>Movimientos extraidos del estado Banco LAFISE.</x:v>
      </x:c>
    </x:row>
  </x:sheetData>
  <x:pageMargins left="0.7" right="0.7" top="0.75" bottom="0.75" header="0.3" footer="0.3"/>
</x:worksheet>
</file>